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TART HERE" sheetId="1" state="visible" r:id="rId1"/>
    <sheet name="Dashboard" sheetId="2" state="visible" r:id="rId2"/>
    <sheet name="All builders" sheetId="3" state="visible" r:id="rId3"/>
    <sheet name="Builders" sheetId="4" state="visible" r:id="rId4"/>
    <sheet name="Contacts" sheetId="5" state="visible" r:id="rId5"/>
    <sheet name="Title Companies" sheetId="6" state="visible" r:id="rId6"/>
    <sheet name="Title Contacts" sheetId="7" state="visible" r:id="rId7"/>
    <sheet name="General Contacts" sheetId="8" state="visible" r:id="rId8"/>
    <sheet name="Lists" sheetId="9" state="visible" r:id="rId9"/>
  </sheets>
  <definedNames>
    <definedName name="BuilderList">Builders!$A$2:INDEX(Builders!$A$2:$A$201,MAX(1,COUNTA(Builders!$A$2:$A$201)))</definedName>
    <definedName name="TitleList">'Title Companies'!$A$2:INDEX('Title Companies'!$A$2:$A$101,MAX(1,COUNTA('Title Companies'!$A$2:$A$101)))</definedName>
    <definedName name="RoleList">Lists!$A$2:INDEX(Lists!$A$2:$A$31,MAX(1,COUNTA(Lists!$A$2:$A$31)))</definedName>
    <definedName name="TitleRoleList">Lists!$B$2:INDEX(Lists!$B$2:$B$31,MAX(1,COUNTA(Lists!$B$2:$B$31)))</definedName>
    <definedName name="_xlnm.Print_Titles" localSheetId="1">'Dashboard'!$1:$4</definedName>
    <definedName name="_xlnm.Print_Area" localSheetId="1">'Dashboard'!$A$1:$F$45</definedName>
    <definedName name="_xlnm._FilterDatabase" localSheetId="2" hidden="1">'All builders'!$A$1:$G$201</definedName>
    <definedName name="_xlnm.Print_Titles" localSheetId="2">'All builders'!$1:$1</definedName>
    <definedName name="_xlnm._FilterDatabase" localSheetId="3" hidden="1">'Builders'!$A$1:$I$201</definedName>
    <definedName name="_xlnm.Print_Titles" localSheetId="3">'Builders'!$1:$1</definedName>
    <definedName name="_xlnm._FilterDatabase" localSheetId="4" hidden="1">'Contacts'!$A$1:$J$301</definedName>
    <definedName name="_xlnm.Print_Titles" localSheetId="4">'Contacts'!$1:$1</definedName>
    <definedName name="_xlnm._FilterDatabase" localSheetId="5" hidden="1">'Title Companies'!$A$1:$E$101</definedName>
    <definedName name="_xlnm.Print_Titles" localSheetId="5">'Title Companies'!$1:$1</definedName>
    <definedName name="_xlnm._FilterDatabase" localSheetId="6" hidden="1">'Title Contacts'!$A$1:$J$201</definedName>
    <definedName name="_xlnm.Print_Titles" localSheetId="6">'Title Contacts'!$1:$1</definedName>
    <definedName name="_xlnm._FilterDatabase" localSheetId="7" hidden="1">'General Contacts'!$A$1:$G$201</definedName>
    <definedName name="_xlnm.Print_Titles" localSheetId="7">'General Contacts'!$1:$1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F2933"/>
      <sz val="16"/>
    </font>
    <font>
      <name val="Calibri"/>
      <color rgb="FF6B7280"/>
      <sz val="10"/>
    </font>
    <font>
      <name val="Calibri"/>
      <b val="1"/>
      <color rgb="FF1F2933"/>
      <sz val="12"/>
    </font>
    <font>
      <name val="Calibri"/>
      <b val="1"/>
      <color rgb="FF1F2933"/>
      <sz val="11"/>
    </font>
    <font>
      <name val="Calibri"/>
      <color rgb="FF1F2933"/>
      <sz val="11"/>
    </font>
    <font>
      <name val="Calibri"/>
      <b val="1"/>
      <color rgb="FF6B7280"/>
      <sz val="12"/>
    </font>
    <font>
      <name val="Calibri"/>
      <color rgb="FF6B7280"/>
      <sz val="11"/>
    </font>
    <font>
      <name val="Calibri"/>
      <b val="1"/>
      <color rgb="FF1F2933"/>
      <sz val="14"/>
    </font>
    <font>
      <name val="Calibri"/>
      <color rgb="FF6B7280"/>
      <sz val="9"/>
    </font>
    <font>
      <name val="Calibri"/>
      <color rgb="FF2B5F8A"/>
      <sz val="11"/>
      <u val="single"/>
    </font>
  </fonts>
  <fills count="9">
    <fill>
      <patternFill/>
    </fill>
    <fill>
      <patternFill patternType="gray125"/>
    </fill>
    <fill>
      <patternFill patternType="solid">
        <fgColor rgb="FF9AA3AF"/>
        <bgColor rgb="FF9AA3AF"/>
      </patternFill>
    </fill>
    <fill>
      <patternFill patternType="solid">
        <fgColor rgb="FF2B5F8A"/>
        <bgColor rgb="FF2B5F8A"/>
      </patternFill>
    </fill>
    <fill>
      <patternFill patternType="solid">
        <fgColor rgb="FF5B8A6A"/>
        <bgColor rgb="FF5B8A6A"/>
      </patternFill>
    </fill>
    <fill>
      <patternFill patternType="solid">
        <fgColor rgb="FFFBE3E1"/>
        <bgColor rgb="FFFBE3E1"/>
      </patternFill>
    </fill>
    <fill>
      <patternFill patternType="solid">
        <fgColor rgb="FFFDF1DC"/>
        <bgColor rgb="FFFDF1DC"/>
      </patternFill>
    </fill>
    <fill>
      <patternFill patternType="solid">
        <fgColor rgb="FFFFF4D6"/>
        <bgColor rgb="FFFFF4D6"/>
      </patternFill>
    </fill>
    <fill>
      <patternFill patternType="solid">
        <fgColor rgb="FFF0F2F5"/>
        <bgColor rgb="FFF0F2F5"/>
      </patternFill>
    </fill>
  </fills>
  <borders count="3">
    <border>
      <left/>
      <right/>
      <top/>
      <bottom/>
      <diagonal/>
    </border>
    <border>
      <bottom style="thin">
        <color rgb="FFD5DAE0"/>
      </bottom>
    </border>
    <border>
      <left style="medium">
        <color rgb="FF2B5F8A"/>
      </left>
      <right style="medium">
        <color rgb="FF2B5F8A"/>
      </right>
      <top style="medium">
        <color rgb="FF2B5F8A"/>
      </top>
      <bottom style="medium">
        <color rgb="FF2B5F8A"/>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bottom"/>
    </xf>
    <xf numFmtId="0" fontId="4" fillId="0" borderId="0" applyAlignment="1" pivotButton="0" quotePrefix="0" xfId="0">
      <alignment horizontal="center" vertical="top"/>
    </xf>
    <xf numFmtId="0" fontId="4" fillId="0" borderId="0" applyAlignment="1" pivotButton="0" quotePrefix="0" xfId="0">
      <alignment vertical="top" wrapText="1"/>
    </xf>
    <xf numFmtId="0" fontId="5" fillId="0"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0" borderId="1" pivotButton="0" quotePrefix="0" xfId="0"/>
    <xf numFmtId="0" fontId="6" fillId="0" borderId="0" applyAlignment="1" pivotButton="0" quotePrefix="0" xfId="0">
      <alignment vertical="bottom"/>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7" fillId="0" borderId="0" applyAlignment="1" pivotButton="0" quotePrefix="0" xfId="0">
      <alignment vertical="center"/>
    </xf>
    <xf numFmtId="0" fontId="3" fillId="7" borderId="2" applyAlignment="1" applyProtection="1" pivotButton="0" quotePrefix="0" xfId="0">
      <alignment vertical="center"/>
      <protection locked="0" hidden="0"/>
    </xf>
    <xf numFmtId="0" fontId="2" fillId="0" borderId="0" applyAlignment="1" pivotButton="0" quotePrefix="0" xfId="0">
      <alignment vertical="center"/>
    </xf>
    <xf numFmtId="0" fontId="4" fillId="0" borderId="1" applyAlignment="1" pivotButton="0" quotePrefix="0" xfId="0">
      <alignment vertical="bottom"/>
    </xf>
    <xf numFmtId="0" fontId="0" fillId="0" borderId="1" applyAlignment="1" pivotButton="0" quotePrefix="0" xfId="0">
      <alignment vertical="bottom"/>
    </xf>
    <xf numFmtId="0" fontId="7" fillId="0" borderId="1" applyAlignment="1" pivotButton="0" quotePrefix="0" xfId="0">
      <alignment vertical="top"/>
    </xf>
    <xf numFmtId="0" fontId="5" fillId="0" borderId="1" applyAlignment="1" pivotButton="0" quotePrefix="0" xfId="0">
      <alignment vertical="top"/>
    </xf>
    <xf numFmtId="0" fontId="10" fillId="0" borderId="1" applyAlignment="1" pivotButton="0" quotePrefix="0" xfId="0">
      <alignment vertical="top"/>
    </xf>
    <xf numFmtId="0" fontId="5" fillId="0" borderId="1" applyAlignment="1" pivotButton="0" quotePrefix="0" xfId="0">
      <alignment vertical="top" wrapText="1"/>
    </xf>
    <xf numFmtId="0" fontId="4" fillId="8" borderId="1" applyAlignment="1" pivotButton="0" quotePrefix="0" xfId="0">
      <alignment vertical="center" wrapText="1"/>
    </xf>
    <xf numFmtId="0" fontId="4" fillId="8" borderId="1" applyAlignment="1" pivotButton="0" quotePrefix="0" xfId="0">
      <alignment horizontal="center" vertical="center" wrapText="1"/>
    </xf>
    <xf numFmtId="0" fontId="5" fillId="0" borderId="0" applyAlignment="1" pivotButton="0" quotePrefix="0" xfId="0">
      <alignment vertical="top"/>
    </xf>
    <xf numFmtId="0" fontId="10" fillId="0" borderId="0" applyAlignment="1" pivotButton="0" quotePrefix="0" xfId="0">
      <alignment vertical="top" wrapText="1"/>
    </xf>
    <xf numFmtId="0" fontId="5" fillId="0" borderId="0" applyAlignment="1" pivotButton="0" quotePrefix="0" xfId="0">
      <alignment horizontal="center" vertical="top"/>
    </xf>
    <xf numFmtId="0" fontId="10" fillId="0" borderId="0" applyAlignment="1" pivotButton="0" quotePrefix="0" xfId="0">
      <alignment vertical="top"/>
    </xf>
    <xf numFmtId="0" fontId="7" fillId="0" borderId="0" applyAlignment="1" pivotButton="0" quotePrefix="0" xfId="0">
      <alignment vertical="top"/>
    </xf>
    <xf numFmtId="49" fontId="5" fillId="0" borderId="0" applyAlignment="1" pivotButton="0" quotePrefix="0" xfId="0">
      <alignment vertical="top"/>
    </xf>
    <xf numFmtId="0" fontId="5" fillId="0" borderId="0" pivotButton="0" quotePrefix="0" xfId="0"/>
  </cellXfs>
  <cellStyles count="1">
    <cellStyle name="Normal" xfId="0" builtinId="0" hidden="0"/>
  </cellStyles>
  <dxfs count="4">
    <dxf>
      <fill>
        <patternFill patternType="solid">
          <fgColor rgb="FFF6F8FA"/>
          <bgColor rgb="FFF6F8FA"/>
        </patternFill>
      </fill>
    </dxf>
    <dxf>
      <border>
        <bottom style="thin">
          <color rgb="FFD5DAE0"/>
        </bottom>
      </border>
    </dxf>
    <dxf>
      <font>
        <color rgb="FF9B1C1C"/>
      </font>
      <fill>
        <patternFill patternType="solid">
          <fgColor rgb="FFFBE3E1"/>
          <bgColor rgb="FFFBE3E1"/>
        </patternFill>
      </fill>
    </dxf>
    <dxf>
      <font>
        <color rgb="FF8A5A1E"/>
      </font>
      <fill>
        <patternFill patternType="solid">
          <fgColor rgb="FFFDF1DC"/>
          <bgColor rgb="FFFDF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3AF"/>
    <outlinePr summaryBelow="1" summaryRight="1"/>
    <pageSetUpPr/>
  </sheetPr>
  <dimension ref="B2:D34"/>
  <sheetViews>
    <sheetView showGridLines="0" workbookViewId="0">
      <selection activeCell="A1" sqref="A1"/>
    </sheetView>
  </sheetViews>
  <sheetFormatPr baseColWidth="8" defaultRowHeight="15"/>
  <cols>
    <col width="2" customWidth="1" min="1" max="1"/>
    <col width="5" customWidth="1" min="2" max="2"/>
    <col width="26" customWidth="1" min="3" max="3"/>
    <col width="90" customWidth="1" min="4" max="4"/>
  </cols>
  <sheetData>
    <row r="2" ht="26" customHeight="1">
      <c r="B2" s="1" t="inlineStr">
        <is>
          <t>TRL Contacts</t>
        </is>
      </c>
    </row>
    <row r="3">
      <c r="B3" s="2" t="inlineStr">
        <is>
          <t>A one-page guide to this workbook.</t>
        </is>
      </c>
    </row>
    <row r="5" ht="24" customHeight="1">
      <c r="B5" s="3" t="inlineStr">
        <is>
          <t>Working a file</t>
        </is>
      </c>
    </row>
    <row r="6">
      <c r="B6" s="4" t="inlineStr">
        <is>
          <t>1</t>
        </is>
      </c>
      <c r="C6" s="5" t="inlineStr">
        <is>
          <t>Pick the builder</t>
        </is>
      </c>
      <c r="D6" s="6" t="inlineStr">
        <is>
          <t>On the Dashboard tab, choose a builder in the shaded box at the top. Everything below it fills in from the green tabs.</t>
        </is>
      </c>
    </row>
    <row r="7">
      <c r="B7" s="4" t="inlineStr">
        <is>
          <t>2</t>
        </is>
      </c>
      <c r="C7" s="5" t="inlineStr">
        <is>
          <t>See who to contact</t>
        </is>
      </c>
      <c r="D7" s="6" t="inlineStr">
        <is>
          <t>The People section lists everyone at that builder with what they handle. CC marks the people who are always copied, and the Always CC row holds their emails ready to paste into a message.</t>
        </is>
      </c>
    </row>
    <row r="8">
      <c r="B8" s="4" t="inlineStr">
        <is>
          <t>3</t>
        </is>
      </c>
      <c r="C8" s="5" t="inlineStr">
        <is>
          <t>Read the rules</t>
        </is>
      </c>
      <c r="D8" s="6" t="inlineStr">
        <is>
          <t>Concessions, allowed uses, special process and communication rules sit at the bottom of the Dashboard (page 2 when printed). Read them before structuring or emailing.</t>
        </is>
      </c>
    </row>
    <row r="9">
      <c r="B9" s="4" t="inlineStr">
        <is>
          <t>4</t>
        </is>
      </c>
      <c r="C9" s="5" t="inlineStr">
        <is>
          <t>Look anything up</t>
        </is>
      </c>
      <c r="D9" s="6" t="inlineStr">
        <is>
          <t>The filter arrows on the green tabs sort and filter any column. The All builders tab lists every builder with its title company and people count.</t>
        </is>
      </c>
    </row>
    <row r="10">
      <c r="B10" s="4" t="inlineStr">
        <is>
          <t>5</t>
        </is>
      </c>
      <c r="C10" s="5" t="inlineStr">
        <is>
          <t>Keep it current</t>
        </is>
      </c>
      <c r="D10" s="6" t="inlineStr">
        <is>
          <t>This file is a snapshot exported from the TRL Contacts web app. Make changes in the app and export again; edits typed here do not flow back. If you do edit here, pick builder and title company names from the dropdowns so they match across tabs.</t>
        </is>
      </c>
    </row>
    <row r="12" ht="24" customHeight="1">
      <c r="B12" s="3" t="inlineStr">
        <is>
          <t>Tabs</t>
        </is>
      </c>
    </row>
    <row r="13">
      <c r="B13" s="7" t="n"/>
      <c r="C13" s="5" t="inlineStr">
        <is>
          <t>START HERE</t>
        </is>
      </c>
      <c r="D13" s="6" t="inlineStr">
        <is>
          <t>This guide.</t>
        </is>
      </c>
    </row>
    <row r="14">
      <c r="B14" s="8" t="n"/>
      <c r="C14" s="5" t="inlineStr">
        <is>
          <t>Dashboard</t>
        </is>
      </c>
      <c r="D14" s="6" t="inlineStr">
        <is>
          <t>One builder at a time: its people, escrow team and rules. Pick the builder in the shaded box.</t>
        </is>
      </c>
    </row>
    <row r="15">
      <c r="B15" s="8" t="n"/>
      <c r="C15" s="5" t="inlineStr">
        <is>
          <t>All builders</t>
        </is>
      </c>
      <c r="D15" s="6" t="inlineStr">
        <is>
          <t>Every builder on one screen with its title company, people count and Dropbox link. Formulas only; use the filter arrows.</t>
        </is>
      </c>
    </row>
    <row r="16">
      <c r="B16" s="9" t="n"/>
      <c r="C16" s="5" t="inlineStr">
        <is>
          <t>Builders</t>
        </is>
      </c>
      <c r="D16" s="6" t="inlineStr">
        <is>
          <t>One row per builder: title company, Dropbox folder, concession rules, special process and communication rules.</t>
        </is>
      </c>
    </row>
    <row r="17">
      <c r="B17" s="9" t="n"/>
      <c r="C17" s="5" t="inlineStr">
        <is>
          <t>Contacts</t>
        </is>
      </c>
      <c r="D17" s="6" t="inlineStr">
        <is>
          <t>One row per person at a builder: role, phone, email, whether they are always CC'd and what they handle.</t>
        </is>
      </c>
    </row>
    <row r="18">
      <c r="B18" s="9" t="n"/>
      <c r="C18" s="5" t="inlineStr">
        <is>
          <t>Title Companies</t>
        </is>
      </c>
      <c r="D18" s="6" t="inlineStr">
        <is>
          <t>One row per title company: team email, office phone and address.</t>
        </is>
      </c>
    </row>
    <row r="19">
      <c r="B19" s="9" t="n"/>
      <c r="C19" s="5" t="inlineStr">
        <is>
          <t>Title Contacts</t>
        </is>
      </c>
      <c r="D19" s="6" t="inlineStr">
        <is>
          <t>One row per person at a title company: escrow agents, assistants, closers.</t>
        </is>
      </c>
    </row>
    <row r="20">
      <c r="B20" s="9" t="n"/>
      <c r="C20" s="5" t="inlineStr">
        <is>
          <t>General Contacts</t>
        </is>
      </c>
      <c r="D20" s="6" t="inlineStr">
        <is>
          <t>People who are not tied to a builder or title company: appraisers, insurance agents, inspectors.</t>
        </is>
      </c>
    </row>
    <row r="21">
      <c r="B21" s="7" t="n"/>
      <c r="C21" s="5" t="inlineStr">
        <is>
          <t>Lists</t>
        </is>
      </c>
      <c r="D21" s="6" t="inlineStr">
        <is>
          <t>The role dropdowns. Add a role under the last one to make it selectable.</t>
        </is>
      </c>
    </row>
    <row r="23" ht="24" customHeight="1">
      <c r="B23" s="3" t="inlineStr">
        <is>
          <t>Highlights</t>
        </is>
      </c>
    </row>
    <row r="24">
      <c r="B24" s="10" t="n"/>
      <c r="C24" s="5" t="inlineStr">
        <is>
          <t>Red</t>
        </is>
      </c>
      <c r="D24" s="6" t="inlineStr">
        <is>
          <t>A builder or title company name that does not match its own tab, or a duplicate name. Re-pick the name from the dropdown and the highlight clears.</t>
        </is>
      </c>
    </row>
    <row r="25">
      <c r="B25" s="11" t="n"/>
      <c r="C25" s="5" t="inlineStr">
        <is>
          <t>Amber</t>
        </is>
      </c>
      <c r="D25" s="6" t="inlineStr">
        <is>
          <t>A person with no phone and no email.</t>
        </is>
      </c>
    </row>
    <row r="26">
      <c r="B26" s="12" t="n"/>
      <c r="C26" s="5" t="inlineStr">
        <is>
          <t>Shaded box</t>
        </is>
      </c>
      <c r="D26" s="6" t="inlineStr">
        <is>
          <t>The one cell you type in on the Dashboard: the builder selector.</t>
        </is>
      </c>
    </row>
    <row r="28">
      <c r="B28" s="13" t="n"/>
      <c r="C28" s="13" t="n"/>
      <c r="D28" s="13" t="n"/>
    </row>
    <row r="29" ht="24" customHeight="1">
      <c r="B29" s="14" t="inlineStr">
        <is>
          <t>Maintenance (for whoever owns this file next)</t>
        </is>
      </c>
    </row>
    <row r="30">
      <c r="C30" s="15" t="inlineStr">
        <is>
          <t>No code, no passwords</t>
        </is>
      </c>
      <c r="D30" s="15" t="inlineStr">
        <is>
          <t>There are no macros, scripts or add-ins, only formulas. The Dashboard and All builders tabs are protected without a password: Review tab, Unprotect Sheet.</t>
        </is>
      </c>
    </row>
    <row r="31">
      <c r="C31" s="15" t="inlineStr">
        <is>
          <t>Capacity</t>
        </is>
      </c>
      <c r="D31" s="15" t="inlineStr">
        <is>
          <t>200 builders, 300 Contacts rows, 100 title companies, 200 Title Contacts rows and 200 general contacts. The dropdowns grow with the data; a blank row in the middle of a list hides its last entry until the gap is filled.</t>
        </is>
      </c>
    </row>
    <row r="32">
      <c r="C32" s="15" t="inlineStr">
        <is>
          <t>Adding a role</t>
        </is>
      </c>
      <c r="D32" s="15" t="inlineStr">
        <is>
          <t>Type it on the Lists tab under the last role (column A for Contacts, column B for Title Contacts).</t>
        </is>
      </c>
    </row>
    <row r="33">
      <c r="C33" s="15" t="inlineStr">
        <is>
          <t>Hidden helpers</t>
        </is>
      </c>
      <c r="D33" s="15" t="inlineStr">
        <is>
          <t>Column K on Contacts and Title Contacts holds the key the Dashboard reads ("builder name|1", "|2" and so on). If a cell there is blank, copy the one above it down.</t>
        </is>
      </c>
    </row>
    <row r="34">
      <c r="C34" s="15" t="inlineStr">
        <is>
          <t>Where this came from</t>
        </is>
      </c>
      <c r="D34" s="15" t="inlineStr">
        <is>
          <t>Exported from the TRL Contacts web app, which is the live database. This workbook is a point-in-time copy of it.</t>
        </is>
      </c>
    </row>
  </sheetData>
  <pageMargins left="0.75" right="0.75" top="1" bottom="1" header="0.5" footer="0.5"/>
</worksheet>
</file>

<file path=xl/worksheets/sheet2.xml><?xml version="1.0" encoding="utf-8"?>
<worksheet xmlns="http://schemas.openxmlformats.org/spreadsheetml/2006/main">
  <sheetPr>
    <tabColor rgb="002B5F8A"/>
    <outlinePr summaryBelow="1" summaryRight="1"/>
    <pageSetUpPr fitToPage="1"/>
  </sheetPr>
  <dimension ref="A1:K45"/>
  <sheetViews>
    <sheetView showGridLines="0" workbookViewId="0">
      <pane ySplit="4" topLeftCell="A5" activePane="bottomLeft" state="frozen"/>
      <selection pane="bottomLeft" activeCell="A1" sqref="A1"/>
    </sheetView>
  </sheetViews>
  <sheetFormatPr baseColWidth="8" defaultRowHeight="15"/>
  <cols>
    <col width="15" customWidth="1" min="1" max="1"/>
    <col width="20" customWidth="1" min="2" max="2"/>
    <col width="13" customWidth="1" min="3" max="3"/>
    <col width="27" customWidth="1" min="4" max="4"/>
    <col width="38" customWidth="1" min="5" max="5"/>
    <col width="5" customWidth="1" min="6" max="6"/>
    <col width="2" customWidth="1" min="7" max="7"/>
    <col hidden="1" width="14" customWidth="1" min="8" max="8"/>
    <col hidden="1" width="14" customWidth="1" min="9" max="9"/>
    <col hidden="1" width="14" customWidth="1" min="10" max="10"/>
    <col hidden="1" width="14" customWidth="1" min="11" max="11"/>
  </cols>
  <sheetData>
    <row r="1" ht="20" customHeight="1">
      <c r="A1" s="16" t="inlineStr">
        <is>
          <t>Builder profile</t>
        </is>
      </c>
    </row>
    <row r="2" ht="14" customHeight="1">
      <c r="A2" s="2" t="inlineStr">
        <is>
          <t>Pick a builder in the shaded box. Everything else fills in from the green tabs; emails and the Dropbox link are clickable.</t>
        </is>
      </c>
      <c r="H2" s="17">
        <f>IFERROR(MATCH($B$4,Builders!$A$2:$A$201,0),"")</f>
        <v/>
      </c>
    </row>
    <row r="3" ht="6" customHeight="1">
      <c r="H3" s="17">
        <f>IF($H$2="","",IFERROR(MATCH(INDEX(Builders!$B$2:$B$201,$H$2),'Title Companies'!$A$2:$A$101,0),""))</f>
        <v/>
      </c>
    </row>
    <row r="4" ht="22" customHeight="1">
      <c r="A4" s="18" t="inlineStr">
        <is>
          <t>Builder</t>
        </is>
      </c>
      <c r="B4" s="19" t="n"/>
      <c r="D4" s="20" t="inlineStr">
        <is>
          <t>Click the shaded box for the list</t>
        </is>
      </c>
      <c r="H4" s="17">
        <f>IF($H$2="","",INDEX(Builders!$B$2:$B$201,$H$2)&amp;"")</f>
        <v/>
      </c>
    </row>
    <row r="5" ht="6" customHeight="1"/>
    <row r="6" ht="18" customHeight="1">
      <c r="A6" s="21" t="inlineStr">
        <is>
          <t>Overview</t>
        </is>
      </c>
      <c r="B6" s="22" t="n"/>
      <c r="C6" s="22" t="n"/>
      <c r="D6" s="22" t="n"/>
      <c r="E6" s="22" t="n"/>
      <c r="F6" s="22" t="n"/>
    </row>
    <row r="7" ht="15" customHeight="1">
      <c r="A7" s="23" t="inlineStr">
        <is>
          <t>Title company</t>
        </is>
      </c>
      <c r="B7" s="24">
        <f>IF($H$2="","",INDEX(Builders!$B$2:$B$201,$H$2)&amp;"")</f>
        <v/>
      </c>
      <c r="C7" s="13" t="n"/>
      <c r="D7" s="13" t="n"/>
      <c r="E7" s="13" t="n"/>
      <c r="F7" s="13" t="n"/>
    </row>
    <row r="8" ht="15" customHeight="1">
      <c r="A8" s="23" t="inlineStr">
        <is>
          <t>Dropbox folder</t>
        </is>
      </c>
      <c r="B8" s="25">
        <f>IF($H$2="","",IF(INDEX(Builders!$C$2:$C$201,$H$2)="","",IF(LEFT(INDEX(Builders!$C$2:$C$201,$H$2),4)="http",HYPERLINK(INDEX(Builders!$C$2:$C$201,$H$2),"Open Dropbox folder"),INDEX(Builders!$C$2:$C$201,$H$2)&amp;"")))</f>
        <v/>
      </c>
      <c r="C8" s="13" t="n"/>
      <c r="D8" s="13" t="n"/>
      <c r="E8" s="13" t="n"/>
      <c r="F8" s="13" t="n"/>
    </row>
    <row r="9" ht="15" customHeight="1">
      <c r="A9" s="23" t="inlineStr">
        <is>
          <t>Concession</t>
        </is>
      </c>
      <c r="B9" s="24">
        <f>IF($H$2="","",INDEX(Builders!$D$2:$D$201,$H$2)&amp;"")</f>
        <v/>
      </c>
      <c r="C9" s="13" t="n"/>
      <c r="D9" s="13" t="n"/>
      <c r="E9" s="13" t="n"/>
      <c r="F9" s="13" t="n"/>
    </row>
    <row r="10" ht="15" customHeight="1">
      <c r="A10" s="23" t="inlineStr">
        <is>
          <t>Calculated from</t>
        </is>
      </c>
      <c r="B10" s="24">
        <f>IF($H$2="","",INDEX(Builders!$E$2:$E$201,$H$2)&amp;"")</f>
        <v/>
      </c>
      <c r="C10" s="13" t="n"/>
      <c r="D10" s="13" t="n"/>
      <c r="E10" s="13" t="n"/>
      <c r="F10" s="13" t="n"/>
    </row>
    <row r="11" ht="20" customHeight="1">
      <c r="A11" s="23" t="inlineStr">
        <is>
          <t>Always CC</t>
        </is>
      </c>
      <c r="B11" s="26">
        <f>IF($K$26="","",LEFT($K$26,LEN($K$26)-2))</f>
        <v/>
      </c>
      <c r="C11" s="13" t="n"/>
      <c r="D11" s="13" t="n"/>
      <c r="E11" s="13" t="n"/>
      <c r="F11" s="13" t="n"/>
    </row>
    <row r="12" ht="6" customHeight="1"/>
    <row r="13" ht="18" customHeight="1">
      <c r="A13" s="21">
        <f>"People"&amp;IF($B$4="","",IF($H$13=0," (none on the Contacts tab)",IF($H$13&gt;12," (first 12 of "&amp;$H$13&amp;", the rest are on the Contacts tab)","")))</f>
        <v/>
      </c>
      <c r="B13" s="22" t="n"/>
      <c r="C13" s="22" t="n"/>
      <c r="D13" s="22" t="n"/>
      <c r="E13" s="22" t="n"/>
      <c r="F13" s="22" t="n"/>
      <c r="H13" s="17">
        <f>IF($B$4="",0,COUNTIF(Contacts!$A$2:$A$301,$B$4))</f>
        <v/>
      </c>
    </row>
    <row r="14" ht="18" customHeight="1">
      <c r="A14" s="27" t="inlineStr">
        <is>
          <t>Role</t>
        </is>
      </c>
      <c r="B14" s="27" t="inlineStr">
        <is>
          <t>Name</t>
        </is>
      </c>
      <c r="C14" s="27" t="inlineStr">
        <is>
          <t>Phone</t>
        </is>
      </c>
      <c r="D14" s="27" t="inlineStr">
        <is>
          <t>Email</t>
        </is>
      </c>
      <c r="E14" s="27" t="inlineStr">
        <is>
          <t>What they handle</t>
        </is>
      </c>
      <c r="F14" s="28" t="inlineStr">
        <is>
          <t>CC</t>
        </is>
      </c>
    </row>
    <row r="15" ht="30" customHeight="1">
      <c r="A15" s="6">
        <f>IF($H15="","",INDEX(Contacts!$B$2:$B$301,$H15)&amp;"")</f>
        <v/>
      </c>
      <c r="B15" s="6">
        <f>IF($H15="","",INDEX(Contacts!$C$2:$C$301,$H15)&amp;"")</f>
        <v/>
      </c>
      <c r="C15" s="29">
        <f>IF($H15="","",INDEX(Contacts!$D$2:$D$301,$H15)&amp;"")</f>
        <v/>
      </c>
      <c r="D15" s="30">
        <f>IF($I15="","",IF(ISNUMBER(SEARCH("@",$I15)),HYPERLINK("mailto:"&amp;$I15,$I15),$I15))</f>
        <v/>
      </c>
      <c r="E15" s="6">
        <f>IF($H15="","",INDEX(Contacts!$I$2:$I$301,$H15)&amp;"")</f>
        <v/>
      </c>
      <c r="F15" s="31">
        <f>IF($H15="","",INDEX(Contacts!$H$2:$H$301,$H15)&amp;"")</f>
        <v/>
      </c>
      <c r="H15" s="17">
        <f>IFERROR(MATCH($B$4&amp;"|"&amp;1,Contacts!$K$2:$K$301,0),"")</f>
        <v/>
      </c>
      <c r="I15" s="17">
        <f>IF($H15="","",INDEX(Contacts!$E$2:$E$301,$H15)&amp;"")</f>
        <v/>
      </c>
      <c r="J15" s="17">
        <f>IF(AND($F15="Yes",$I15&lt;&gt;""),$I15&amp;"; ","")</f>
        <v/>
      </c>
      <c r="K15" s="17">
        <f>J15</f>
        <v/>
      </c>
    </row>
    <row r="16" ht="30" customHeight="1">
      <c r="A16" s="6">
        <f>IF($H16="","",INDEX(Contacts!$B$2:$B$301,$H16)&amp;"")</f>
        <v/>
      </c>
      <c r="B16" s="6">
        <f>IF($H16="","",INDEX(Contacts!$C$2:$C$301,$H16)&amp;"")</f>
        <v/>
      </c>
      <c r="C16" s="29">
        <f>IF($H16="","",INDEX(Contacts!$D$2:$D$301,$H16)&amp;"")</f>
        <v/>
      </c>
      <c r="D16" s="30">
        <f>IF($I16="","",IF(ISNUMBER(SEARCH("@",$I16)),HYPERLINK("mailto:"&amp;$I16,$I16),$I16))</f>
        <v/>
      </c>
      <c r="E16" s="6">
        <f>IF($H16="","",INDEX(Contacts!$I$2:$I$301,$H16)&amp;"")</f>
        <v/>
      </c>
      <c r="F16" s="31">
        <f>IF($H16="","",INDEX(Contacts!$H$2:$H$301,$H16)&amp;"")</f>
        <v/>
      </c>
      <c r="H16" s="17">
        <f>IFERROR(MATCH($B$4&amp;"|"&amp;2,Contacts!$K$2:$K$301,0),"")</f>
        <v/>
      </c>
      <c r="I16" s="17">
        <f>IF($H16="","",INDEX(Contacts!$E$2:$E$301,$H16)&amp;"")</f>
        <v/>
      </c>
      <c r="J16" s="17">
        <f>IF(AND($F16="Yes",$I16&lt;&gt;""),$I16&amp;"; ","")</f>
        <v/>
      </c>
      <c r="K16" s="17">
        <f>K15&amp;J16</f>
        <v/>
      </c>
    </row>
    <row r="17" ht="30" customHeight="1">
      <c r="A17" s="6">
        <f>IF($H17="","",INDEX(Contacts!$B$2:$B$301,$H17)&amp;"")</f>
        <v/>
      </c>
      <c r="B17" s="6">
        <f>IF($H17="","",INDEX(Contacts!$C$2:$C$301,$H17)&amp;"")</f>
        <v/>
      </c>
      <c r="C17" s="29">
        <f>IF($H17="","",INDEX(Contacts!$D$2:$D$301,$H17)&amp;"")</f>
        <v/>
      </c>
      <c r="D17" s="30">
        <f>IF($I17="","",IF(ISNUMBER(SEARCH("@",$I17)),HYPERLINK("mailto:"&amp;$I17,$I17),$I17))</f>
        <v/>
      </c>
      <c r="E17" s="6">
        <f>IF($H17="","",INDEX(Contacts!$I$2:$I$301,$H17)&amp;"")</f>
        <v/>
      </c>
      <c r="F17" s="31">
        <f>IF($H17="","",INDEX(Contacts!$H$2:$H$301,$H17)&amp;"")</f>
        <v/>
      </c>
      <c r="H17" s="17">
        <f>IFERROR(MATCH($B$4&amp;"|"&amp;3,Contacts!$K$2:$K$301,0),"")</f>
        <v/>
      </c>
      <c r="I17" s="17">
        <f>IF($H17="","",INDEX(Contacts!$E$2:$E$301,$H17)&amp;"")</f>
        <v/>
      </c>
      <c r="J17" s="17">
        <f>IF(AND($F17="Yes",$I17&lt;&gt;""),$I17&amp;"; ","")</f>
        <v/>
      </c>
      <c r="K17" s="17">
        <f>K16&amp;J17</f>
        <v/>
      </c>
    </row>
    <row r="18" ht="30" customHeight="1">
      <c r="A18" s="6">
        <f>IF($H18="","",INDEX(Contacts!$B$2:$B$301,$H18)&amp;"")</f>
        <v/>
      </c>
      <c r="B18" s="6">
        <f>IF($H18="","",INDEX(Contacts!$C$2:$C$301,$H18)&amp;"")</f>
        <v/>
      </c>
      <c r="C18" s="29">
        <f>IF($H18="","",INDEX(Contacts!$D$2:$D$301,$H18)&amp;"")</f>
        <v/>
      </c>
      <c r="D18" s="30">
        <f>IF($I18="","",IF(ISNUMBER(SEARCH("@",$I18)),HYPERLINK("mailto:"&amp;$I18,$I18),$I18))</f>
        <v/>
      </c>
      <c r="E18" s="6">
        <f>IF($H18="","",INDEX(Contacts!$I$2:$I$301,$H18)&amp;"")</f>
        <v/>
      </c>
      <c r="F18" s="31">
        <f>IF($H18="","",INDEX(Contacts!$H$2:$H$301,$H18)&amp;"")</f>
        <v/>
      </c>
      <c r="H18" s="17">
        <f>IFERROR(MATCH($B$4&amp;"|"&amp;4,Contacts!$K$2:$K$301,0),"")</f>
        <v/>
      </c>
      <c r="I18" s="17">
        <f>IF($H18="","",INDEX(Contacts!$E$2:$E$301,$H18)&amp;"")</f>
        <v/>
      </c>
      <c r="J18" s="17">
        <f>IF(AND($F18="Yes",$I18&lt;&gt;""),$I18&amp;"; ","")</f>
        <v/>
      </c>
      <c r="K18" s="17">
        <f>K17&amp;J18</f>
        <v/>
      </c>
    </row>
    <row r="19" ht="30" customHeight="1">
      <c r="A19" s="6">
        <f>IF($H19="","",INDEX(Contacts!$B$2:$B$301,$H19)&amp;"")</f>
        <v/>
      </c>
      <c r="B19" s="6">
        <f>IF($H19="","",INDEX(Contacts!$C$2:$C$301,$H19)&amp;"")</f>
        <v/>
      </c>
      <c r="C19" s="29">
        <f>IF($H19="","",INDEX(Contacts!$D$2:$D$301,$H19)&amp;"")</f>
        <v/>
      </c>
      <c r="D19" s="30">
        <f>IF($I19="","",IF(ISNUMBER(SEARCH("@",$I19)),HYPERLINK("mailto:"&amp;$I19,$I19),$I19))</f>
        <v/>
      </c>
      <c r="E19" s="6">
        <f>IF($H19="","",INDEX(Contacts!$I$2:$I$301,$H19)&amp;"")</f>
        <v/>
      </c>
      <c r="F19" s="31">
        <f>IF($H19="","",INDEX(Contacts!$H$2:$H$301,$H19)&amp;"")</f>
        <v/>
      </c>
      <c r="H19" s="17">
        <f>IFERROR(MATCH($B$4&amp;"|"&amp;5,Contacts!$K$2:$K$301,0),"")</f>
        <v/>
      </c>
      <c r="I19" s="17">
        <f>IF($H19="","",INDEX(Contacts!$E$2:$E$301,$H19)&amp;"")</f>
        <v/>
      </c>
      <c r="J19" s="17">
        <f>IF(AND($F19="Yes",$I19&lt;&gt;""),$I19&amp;"; ","")</f>
        <v/>
      </c>
      <c r="K19" s="17">
        <f>K18&amp;J19</f>
        <v/>
      </c>
    </row>
    <row r="20" ht="30" customHeight="1">
      <c r="A20" s="6">
        <f>IF($H20="","",INDEX(Contacts!$B$2:$B$301,$H20)&amp;"")</f>
        <v/>
      </c>
      <c r="B20" s="6">
        <f>IF($H20="","",INDEX(Contacts!$C$2:$C$301,$H20)&amp;"")</f>
        <v/>
      </c>
      <c r="C20" s="29">
        <f>IF($H20="","",INDEX(Contacts!$D$2:$D$301,$H20)&amp;"")</f>
        <v/>
      </c>
      <c r="D20" s="30">
        <f>IF($I20="","",IF(ISNUMBER(SEARCH("@",$I20)),HYPERLINK("mailto:"&amp;$I20,$I20),$I20))</f>
        <v/>
      </c>
      <c r="E20" s="6">
        <f>IF($H20="","",INDEX(Contacts!$I$2:$I$301,$H20)&amp;"")</f>
        <v/>
      </c>
      <c r="F20" s="31">
        <f>IF($H20="","",INDEX(Contacts!$H$2:$H$301,$H20)&amp;"")</f>
        <v/>
      </c>
      <c r="H20" s="17">
        <f>IFERROR(MATCH($B$4&amp;"|"&amp;6,Contacts!$K$2:$K$301,0),"")</f>
        <v/>
      </c>
      <c r="I20" s="17">
        <f>IF($H20="","",INDEX(Contacts!$E$2:$E$301,$H20)&amp;"")</f>
        <v/>
      </c>
      <c r="J20" s="17">
        <f>IF(AND($F20="Yes",$I20&lt;&gt;""),$I20&amp;"; ","")</f>
        <v/>
      </c>
      <c r="K20" s="17">
        <f>K19&amp;J20</f>
        <v/>
      </c>
    </row>
    <row r="21" ht="30" customHeight="1">
      <c r="A21" s="6">
        <f>IF($H21="","",INDEX(Contacts!$B$2:$B$301,$H21)&amp;"")</f>
        <v/>
      </c>
      <c r="B21" s="6">
        <f>IF($H21="","",INDEX(Contacts!$C$2:$C$301,$H21)&amp;"")</f>
        <v/>
      </c>
      <c r="C21" s="29">
        <f>IF($H21="","",INDEX(Contacts!$D$2:$D$301,$H21)&amp;"")</f>
        <v/>
      </c>
      <c r="D21" s="30">
        <f>IF($I21="","",IF(ISNUMBER(SEARCH("@",$I21)),HYPERLINK("mailto:"&amp;$I21,$I21),$I21))</f>
        <v/>
      </c>
      <c r="E21" s="6">
        <f>IF($H21="","",INDEX(Contacts!$I$2:$I$301,$H21)&amp;"")</f>
        <v/>
      </c>
      <c r="F21" s="31">
        <f>IF($H21="","",INDEX(Contacts!$H$2:$H$301,$H21)&amp;"")</f>
        <v/>
      </c>
      <c r="H21" s="17">
        <f>IFERROR(MATCH($B$4&amp;"|"&amp;7,Contacts!$K$2:$K$301,0),"")</f>
        <v/>
      </c>
      <c r="I21" s="17">
        <f>IF($H21="","",INDEX(Contacts!$E$2:$E$301,$H21)&amp;"")</f>
        <v/>
      </c>
      <c r="J21" s="17">
        <f>IF(AND($F21="Yes",$I21&lt;&gt;""),$I21&amp;"; ","")</f>
        <v/>
      </c>
      <c r="K21" s="17">
        <f>K20&amp;J21</f>
        <v/>
      </c>
    </row>
    <row r="22" ht="30" customHeight="1">
      <c r="A22" s="6">
        <f>IF($H22="","",INDEX(Contacts!$B$2:$B$301,$H22)&amp;"")</f>
        <v/>
      </c>
      <c r="B22" s="6">
        <f>IF($H22="","",INDEX(Contacts!$C$2:$C$301,$H22)&amp;"")</f>
        <v/>
      </c>
      <c r="C22" s="29">
        <f>IF($H22="","",INDEX(Contacts!$D$2:$D$301,$H22)&amp;"")</f>
        <v/>
      </c>
      <c r="D22" s="30">
        <f>IF($I22="","",IF(ISNUMBER(SEARCH("@",$I22)),HYPERLINK("mailto:"&amp;$I22,$I22),$I22))</f>
        <v/>
      </c>
      <c r="E22" s="6">
        <f>IF($H22="","",INDEX(Contacts!$I$2:$I$301,$H22)&amp;"")</f>
        <v/>
      </c>
      <c r="F22" s="31">
        <f>IF($H22="","",INDEX(Contacts!$H$2:$H$301,$H22)&amp;"")</f>
        <v/>
      </c>
      <c r="H22" s="17">
        <f>IFERROR(MATCH($B$4&amp;"|"&amp;8,Contacts!$K$2:$K$301,0),"")</f>
        <v/>
      </c>
      <c r="I22" s="17">
        <f>IF($H22="","",INDEX(Contacts!$E$2:$E$301,$H22)&amp;"")</f>
        <v/>
      </c>
      <c r="J22" s="17">
        <f>IF(AND($F22="Yes",$I22&lt;&gt;""),$I22&amp;"; ","")</f>
        <v/>
      </c>
      <c r="K22" s="17">
        <f>K21&amp;J22</f>
        <v/>
      </c>
    </row>
    <row r="23" ht="30" customHeight="1">
      <c r="A23" s="6">
        <f>IF($H23="","",INDEX(Contacts!$B$2:$B$301,$H23)&amp;"")</f>
        <v/>
      </c>
      <c r="B23" s="6">
        <f>IF($H23="","",INDEX(Contacts!$C$2:$C$301,$H23)&amp;"")</f>
        <v/>
      </c>
      <c r="C23" s="29">
        <f>IF($H23="","",INDEX(Contacts!$D$2:$D$301,$H23)&amp;"")</f>
        <v/>
      </c>
      <c r="D23" s="30">
        <f>IF($I23="","",IF(ISNUMBER(SEARCH("@",$I23)),HYPERLINK("mailto:"&amp;$I23,$I23),$I23))</f>
        <v/>
      </c>
      <c r="E23" s="6">
        <f>IF($H23="","",INDEX(Contacts!$I$2:$I$301,$H23)&amp;"")</f>
        <v/>
      </c>
      <c r="F23" s="31">
        <f>IF($H23="","",INDEX(Contacts!$H$2:$H$301,$H23)&amp;"")</f>
        <v/>
      </c>
      <c r="H23" s="17">
        <f>IFERROR(MATCH($B$4&amp;"|"&amp;9,Contacts!$K$2:$K$301,0),"")</f>
        <v/>
      </c>
      <c r="I23" s="17">
        <f>IF($H23="","",INDEX(Contacts!$E$2:$E$301,$H23)&amp;"")</f>
        <v/>
      </c>
      <c r="J23" s="17">
        <f>IF(AND($F23="Yes",$I23&lt;&gt;""),$I23&amp;"; ","")</f>
        <v/>
      </c>
      <c r="K23" s="17">
        <f>K22&amp;J23</f>
        <v/>
      </c>
    </row>
    <row r="24" ht="30" customHeight="1">
      <c r="A24" s="6">
        <f>IF($H24="","",INDEX(Contacts!$B$2:$B$301,$H24)&amp;"")</f>
        <v/>
      </c>
      <c r="B24" s="6">
        <f>IF($H24="","",INDEX(Contacts!$C$2:$C$301,$H24)&amp;"")</f>
        <v/>
      </c>
      <c r="C24" s="29">
        <f>IF($H24="","",INDEX(Contacts!$D$2:$D$301,$H24)&amp;"")</f>
        <v/>
      </c>
      <c r="D24" s="30">
        <f>IF($I24="","",IF(ISNUMBER(SEARCH("@",$I24)),HYPERLINK("mailto:"&amp;$I24,$I24),$I24))</f>
        <v/>
      </c>
      <c r="E24" s="6">
        <f>IF($H24="","",INDEX(Contacts!$I$2:$I$301,$H24)&amp;"")</f>
        <v/>
      </c>
      <c r="F24" s="31">
        <f>IF($H24="","",INDEX(Contacts!$H$2:$H$301,$H24)&amp;"")</f>
        <v/>
      </c>
      <c r="H24" s="17">
        <f>IFERROR(MATCH($B$4&amp;"|"&amp;10,Contacts!$K$2:$K$301,0),"")</f>
        <v/>
      </c>
      <c r="I24" s="17">
        <f>IF($H24="","",INDEX(Contacts!$E$2:$E$301,$H24)&amp;"")</f>
        <v/>
      </c>
      <c r="J24" s="17">
        <f>IF(AND($F24="Yes",$I24&lt;&gt;""),$I24&amp;"; ","")</f>
        <v/>
      </c>
      <c r="K24" s="17">
        <f>K23&amp;J24</f>
        <v/>
      </c>
    </row>
    <row r="25" ht="30" customHeight="1">
      <c r="A25" s="6">
        <f>IF($H25="","",INDEX(Contacts!$B$2:$B$301,$H25)&amp;"")</f>
        <v/>
      </c>
      <c r="B25" s="6">
        <f>IF($H25="","",INDEX(Contacts!$C$2:$C$301,$H25)&amp;"")</f>
        <v/>
      </c>
      <c r="C25" s="29">
        <f>IF($H25="","",INDEX(Contacts!$D$2:$D$301,$H25)&amp;"")</f>
        <v/>
      </c>
      <c r="D25" s="30">
        <f>IF($I25="","",IF(ISNUMBER(SEARCH("@",$I25)),HYPERLINK("mailto:"&amp;$I25,$I25),$I25))</f>
        <v/>
      </c>
      <c r="E25" s="6">
        <f>IF($H25="","",INDEX(Contacts!$I$2:$I$301,$H25)&amp;"")</f>
        <v/>
      </c>
      <c r="F25" s="31">
        <f>IF($H25="","",INDEX(Contacts!$H$2:$H$301,$H25)&amp;"")</f>
        <v/>
      </c>
      <c r="H25" s="17">
        <f>IFERROR(MATCH($B$4&amp;"|"&amp;11,Contacts!$K$2:$K$301,0),"")</f>
        <v/>
      </c>
      <c r="I25" s="17">
        <f>IF($H25="","",INDEX(Contacts!$E$2:$E$301,$H25)&amp;"")</f>
        <v/>
      </c>
      <c r="J25" s="17">
        <f>IF(AND($F25="Yes",$I25&lt;&gt;""),$I25&amp;"; ","")</f>
        <v/>
      </c>
      <c r="K25" s="17">
        <f>K24&amp;J25</f>
        <v/>
      </c>
    </row>
    <row r="26" ht="30" customHeight="1">
      <c r="A26" s="6">
        <f>IF($H26="","",INDEX(Contacts!$B$2:$B$301,$H26)&amp;"")</f>
        <v/>
      </c>
      <c r="B26" s="6">
        <f>IF($H26="","",INDEX(Contacts!$C$2:$C$301,$H26)&amp;"")</f>
        <v/>
      </c>
      <c r="C26" s="29">
        <f>IF($H26="","",INDEX(Contacts!$D$2:$D$301,$H26)&amp;"")</f>
        <v/>
      </c>
      <c r="D26" s="30">
        <f>IF($I26="","",IF(ISNUMBER(SEARCH("@",$I26)),HYPERLINK("mailto:"&amp;$I26,$I26),$I26))</f>
        <v/>
      </c>
      <c r="E26" s="6">
        <f>IF($H26="","",INDEX(Contacts!$I$2:$I$301,$H26)&amp;"")</f>
        <v/>
      </c>
      <c r="F26" s="31">
        <f>IF($H26="","",INDEX(Contacts!$H$2:$H$301,$H26)&amp;"")</f>
        <v/>
      </c>
      <c r="H26" s="17">
        <f>IFERROR(MATCH($B$4&amp;"|"&amp;12,Contacts!$K$2:$K$301,0),"")</f>
        <v/>
      </c>
      <c r="I26" s="17">
        <f>IF($H26="","",INDEX(Contacts!$E$2:$E$301,$H26)&amp;"")</f>
        <v/>
      </c>
      <c r="J26" s="17">
        <f>IF(AND($F26="Yes",$I26&lt;&gt;""),$I26&amp;"; ","")</f>
        <v/>
      </c>
      <c r="K26" s="17">
        <f>K25&amp;J26</f>
        <v/>
      </c>
    </row>
    <row r="27" ht="6" customHeight="1"/>
    <row r="28" ht="18" customHeight="1">
      <c r="A28" s="21">
        <f>"Title company"&amp;IF($B$4="","",IF($H$4=""," (none on the Builders tab)",": "&amp;$H$4&amp;IF($H$28&gt;6," (first 6 of "&amp;$H$28&amp;", the rest are on the Title Contacts tab)","")))</f>
        <v/>
      </c>
      <c r="B28" s="22" t="n"/>
      <c r="C28" s="22" t="n"/>
      <c r="D28" s="22" t="n"/>
      <c r="E28" s="22" t="n"/>
      <c r="F28" s="22" t="n"/>
      <c r="H28" s="17">
        <f>IF($H$4="",0,COUNTIF('Title Contacts'!$A$2:$A$201,$H$4))</f>
        <v/>
      </c>
    </row>
    <row r="29" ht="18" customHeight="1">
      <c r="A29" s="27" t="inlineStr">
        <is>
          <t>Role</t>
        </is>
      </c>
      <c r="B29" s="27" t="inlineStr">
        <is>
          <t>Name</t>
        </is>
      </c>
      <c r="C29" s="27" t="inlineStr">
        <is>
          <t>Phone</t>
        </is>
      </c>
      <c r="D29" s="27" t="inlineStr">
        <is>
          <t>Email</t>
        </is>
      </c>
    </row>
    <row r="30">
      <c r="A30" s="29">
        <f>IF($H30="","",INDEX('Title Contacts'!$B$2:$B$201,$H30)&amp;"")</f>
        <v/>
      </c>
      <c r="B30" s="29">
        <f>IF($H30="","",INDEX('Title Contacts'!$C$2:$C$201,$H30)&amp;"")</f>
        <v/>
      </c>
      <c r="C30" s="29">
        <f>IF($H30="","",INDEX('Title Contacts'!$D$2:$D$201,$H30)&amp;"")</f>
        <v/>
      </c>
      <c r="D30" s="32">
        <f>IF($I30="","",IF(ISNUMBER(SEARCH("@",$I30)),HYPERLINK("mailto:"&amp;$I30,$I30),$I30))</f>
        <v/>
      </c>
      <c r="H30" s="17">
        <f>IFERROR(MATCH($H$4&amp;"|"&amp;1,'Title Contacts'!$K$2:$K$201,0),"")</f>
        <v/>
      </c>
      <c r="I30" s="17">
        <f>IF($H30="","",INDEX('Title Contacts'!$E$2:$E$201,$H30)&amp;"")</f>
        <v/>
      </c>
    </row>
    <row r="31">
      <c r="A31" s="29">
        <f>IF($H31="","",INDEX('Title Contacts'!$B$2:$B$201,$H31)&amp;"")</f>
        <v/>
      </c>
      <c r="B31" s="29">
        <f>IF($H31="","",INDEX('Title Contacts'!$C$2:$C$201,$H31)&amp;"")</f>
        <v/>
      </c>
      <c r="C31" s="29">
        <f>IF($H31="","",INDEX('Title Contacts'!$D$2:$D$201,$H31)&amp;"")</f>
        <v/>
      </c>
      <c r="D31" s="32">
        <f>IF($I31="","",IF(ISNUMBER(SEARCH("@",$I31)),HYPERLINK("mailto:"&amp;$I31,$I31),$I31))</f>
        <v/>
      </c>
      <c r="H31" s="17">
        <f>IFERROR(MATCH($H$4&amp;"|"&amp;2,'Title Contacts'!$K$2:$K$201,0),"")</f>
        <v/>
      </c>
      <c r="I31" s="17">
        <f>IF($H31="","",INDEX('Title Contacts'!$E$2:$E$201,$H31)&amp;"")</f>
        <v/>
      </c>
    </row>
    <row r="32">
      <c r="A32" s="29">
        <f>IF($H32="","",INDEX('Title Contacts'!$B$2:$B$201,$H32)&amp;"")</f>
        <v/>
      </c>
      <c r="B32" s="29">
        <f>IF($H32="","",INDEX('Title Contacts'!$C$2:$C$201,$H32)&amp;"")</f>
        <v/>
      </c>
      <c r="C32" s="29">
        <f>IF($H32="","",INDEX('Title Contacts'!$D$2:$D$201,$H32)&amp;"")</f>
        <v/>
      </c>
      <c r="D32" s="32">
        <f>IF($I32="","",IF(ISNUMBER(SEARCH("@",$I32)),HYPERLINK("mailto:"&amp;$I32,$I32),$I32))</f>
        <v/>
      </c>
      <c r="H32" s="17">
        <f>IFERROR(MATCH($H$4&amp;"|"&amp;3,'Title Contacts'!$K$2:$K$201,0),"")</f>
        <v/>
      </c>
      <c r="I32" s="17">
        <f>IF($H32="","",INDEX('Title Contacts'!$E$2:$E$201,$H32)&amp;"")</f>
        <v/>
      </c>
    </row>
    <row r="33">
      <c r="A33" s="29">
        <f>IF($H33="","",INDEX('Title Contacts'!$B$2:$B$201,$H33)&amp;"")</f>
        <v/>
      </c>
      <c r="B33" s="29">
        <f>IF($H33="","",INDEX('Title Contacts'!$C$2:$C$201,$H33)&amp;"")</f>
        <v/>
      </c>
      <c r="C33" s="29">
        <f>IF($H33="","",INDEX('Title Contacts'!$D$2:$D$201,$H33)&amp;"")</f>
        <v/>
      </c>
      <c r="D33" s="32">
        <f>IF($I33="","",IF(ISNUMBER(SEARCH("@",$I33)),HYPERLINK("mailto:"&amp;$I33,$I33),$I33))</f>
        <v/>
      </c>
      <c r="H33" s="17">
        <f>IFERROR(MATCH($H$4&amp;"|"&amp;4,'Title Contacts'!$K$2:$K$201,0),"")</f>
        <v/>
      </c>
      <c r="I33" s="17">
        <f>IF($H33="","",INDEX('Title Contacts'!$E$2:$E$201,$H33)&amp;"")</f>
        <v/>
      </c>
    </row>
    <row r="34">
      <c r="A34" s="29">
        <f>IF($H34="","",INDEX('Title Contacts'!$B$2:$B$201,$H34)&amp;"")</f>
        <v/>
      </c>
      <c r="B34" s="29">
        <f>IF($H34="","",INDEX('Title Contacts'!$C$2:$C$201,$H34)&amp;"")</f>
        <v/>
      </c>
      <c r="C34" s="29">
        <f>IF($H34="","",INDEX('Title Contacts'!$D$2:$D$201,$H34)&amp;"")</f>
        <v/>
      </c>
      <c r="D34" s="32">
        <f>IF($I34="","",IF(ISNUMBER(SEARCH("@",$I34)),HYPERLINK("mailto:"&amp;$I34,$I34),$I34))</f>
        <v/>
      </c>
      <c r="H34" s="17">
        <f>IFERROR(MATCH($H$4&amp;"|"&amp;5,'Title Contacts'!$K$2:$K$201,0),"")</f>
        <v/>
      </c>
      <c r="I34" s="17">
        <f>IF($H34="","",INDEX('Title Contacts'!$E$2:$E$201,$H34)&amp;"")</f>
        <v/>
      </c>
    </row>
    <row r="35">
      <c r="A35" s="29">
        <f>IF($H35="","",INDEX('Title Contacts'!$B$2:$B$201,$H35)&amp;"")</f>
        <v/>
      </c>
      <c r="B35" s="29">
        <f>IF($H35="","",INDEX('Title Contacts'!$C$2:$C$201,$H35)&amp;"")</f>
        <v/>
      </c>
      <c r="C35" s="29">
        <f>IF($H35="","",INDEX('Title Contacts'!$D$2:$D$201,$H35)&amp;"")</f>
        <v/>
      </c>
      <c r="D35" s="32">
        <f>IF($I35="","",IF(ISNUMBER(SEARCH("@",$I35)),HYPERLINK("mailto:"&amp;$I35,$I35),$I35))</f>
        <v/>
      </c>
      <c r="H35" s="17">
        <f>IFERROR(MATCH($H$4&amp;"|"&amp;6,'Title Contacts'!$K$2:$K$201,0),"")</f>
        <v/>
      </c>
      <c r="I35" s="17">
        <f>IF($H35="","",INDEX('Title Contacts'!$E$2:$E$201,$H35)&amp;"")</f>
        <v/>
      </c>
    </row>
    <row r="36" ht="15" customHeight="1">
      <c r="A36" s="23" t="inlineStr">
        <is>
          <t>Team email</t>
        </is>
      </c>
      <c r="B36" s="25">
        <f>IF($I36="","",IF(ISNUMBER(SEARCH("@",$I36)),HYPERLINK("mailto:"&amp;$I36,$I36),$I36))</f>
        <v/>
      </c>
      <c r="C36" s="13" t="n"/>
      <c r="D36" s="13" t="n"/>
      <c r="E36" s="13" t="n"/>
      <c r="F36" s="13" t="n"/>
      <c r="I36" s="17">
        <f>IF($H$3="","",INDEX('Title Companies'!$B$2:$B$101,$H$3)&amp;"")</f>
        <v/>
      </c>
    </row>
    <row r="37" ht="15" customHeight="1">
      <c r="A37" s="23" t="inlineStr">
        <is>
          <t>Office phone</t>
        </is>
      </c>
      <c r="B37" s="24">
        <f>IF($H$3="","",INDEX('Title Companies'!$C$2:$C$101,$H$3)&amp;"")</f>
        <v/>
      </c>
      <c r="C37" s="13" t="n"/>
      <c r="D37" s="13" t="n"/>
      <c r="E37" s="13" t="n"/>
      <c r="F37" s="13" t="n"/>
    </row>
    <row r="38" ht="15" customHeight="1">
      <c r="A38" s="23" t="inlineStr">
        <is>
          <t>Office address</t>
        </is>
      </c>
      <c r="B38" s="24">
        <f>IF($H$3="","",INDEX('Title Companies'!$D$2:$D$101,$H$3)&amp;"")</f>
        <v/>
      </c>
      <c r="C38" s="13" t="n"/>
      <c r="D38" s="13" t="n"/>
      <c r="E38" s="13" t="n"/>
      <c r="F38" s="13" t="n"/>
    </row>
    <row r="39" ht="75" customHeight="1">
      <c r="A39" s="33" t="inlineStr">
        <is>
          <t>Title notes</t>
        </is>
      </c>
      <c r="B39" s="6">
        <f>IF($H$3="","",INDEX('Title Companies'!$E$2:$E$101,$H$3)&amp;"")</f>
        <v/>
      </c>
    </row>
    <row r="40" ht="6" customHeight="1"/>
    <row r="41" ht="18" customHeight="1">
      <c r="A41" s="21" t="inlineStr">
        <is>
          <t>Rules and notes</t>
        </is>
      </c>
      <c r="B41" s="22" t="n"/>
      <c r="C41" s="22" t="n"/>
      <c r="D41" s="22" t="n"/>
      <c r="E41" s="22" t="n"/>
      <c r="F41" s="22" t="n"/>
    </row>
    <row r="42" ht="150" customHeight="1">
      <c r="A42" s="33" t="inlineStr">
        <is>
          <t>Allowed uses</t>
        </is>
      </c>
      <c r="B42" s="6">
        <f>IF($H$2="","",INDEX(Builders!$F$2:$F$201,$H$2)&amp;"")</f>
        <v/>
      </c>
    </row>
    <row r="43" ht="45" customHeight="1">
      <c r="A43" s="33" t="inlineStr">
        <is>
          <t>Special process</t>
        </is>
      </c>
      <c r="B43" s="6">
        <f>IF($H$2="","",INDEX(Builders!$G$2:$G$201,$H$2)&amp;"")</f>
        <v/>
      </c>
    </row>
    <row r="44" ht="240" customHeight="1">
      <c r="A44" s="33" t="inlineStr">
        <is>
          <t>Communication rules</t>
        </is>
      </c>
      <c r="B44" s="6">
        <f>IF($H$2="","",INDEX(Builders!$H$2:$H$201,$H$2)&amp;"")</f>
        <v/>
      </c>
    </row>
    <row r="45" ht="45" customHeight="1">
      <c r="A45" s="33" t="inlineStr">
        <is>
          <t>General notes</t>
        </is>
      </c>
      <c r="B45" s="6">
        <f>IF($H$2="","",INDEX(Builders!$I$2:$I$201,$H$2)&amp;"")</f>
        <v/>
      </c>
    </row>
  </sheetData>
  <sheetProtection selectLockedCells="0" selectUnlockedCells="0" sheet="1" objects="0" insertRows="1" insertHyperlinks="1" autoFilter="1" scenarios="0" formatColumns="0" deleteColumns="1" insertColumns="1" pivotTables="1" deleteRows="1" formatCells="1" formatRows="0" sort="1"/>
  <mergeCells count="6">
    <mergeCell ref="B44:F44"/>
    <mergeCell ref="B43:F43"/>
    <mergeCell ref="B39:F39"/>
    <mergeCell ref="B42:F42"/>
    <mergeCell ref="B11:F11"/>
    <mergeCell ref="B45:F45"/>
  </mergeCells>
  <conditionalFormatting sqref="A15:F26">
    <cfRule type="expression" priority="10" dxfId="0">
      <formula>AND(MOD(ROW(),2)=0,$B15&lt;&gt;"")</formula>
    </cfRule>
    <cfRule type="expression" priority="11" dxfId="1">
      <formula>$B15&lt;&gt;""</formula>
    </cfRule>
  </conditionalFormatting>
  <conditionalFormatting sqref="A30:D35">
    <cfRule type="expression" priority="12" dxfId="0">
      <formula>AND(MOD(ROW(),2)=0,$B30&lt;&gt;"")</formula>
    </cfRule>
    <cfRule type="expression" priority="13" dxfId="1">
      <formula>$B30&lt;&gt;""</formula>
    </cfRule>
  </conditionalFormatting>
  <dataValidations count="1">
    <dataValidation sqref="B4" showDropDown="0" showInputMessage="0" showErrorMessage="0" allowBlank="1" type="list">
      <formula1>BuilderList</formula1>
    </dataValidation>
  </dataValidations>
  <printOptions horizontalCentered="1" gridLines="0"/>
  <pageMargins left="0.4" right="0.4" top="0.5" bottom="0.5" header="0.5" footer="0.5"/>
  <pageSetup orientation="portrait" paperSize="1" fitToHeight="0" fitToWidth="1"/>
  <headerFooter>
    <oddHeader/>
    <oddFooter>&amp;LPrinted &amp;D&amp;RPage &amp;P of &amp;N</oddFooter>
    <evenHeader/>
    <evenFooter/>
    <firstHeader/>
    <firstFooter/>
  </headerFooter>
  <rowBreaks count="1" manualBreakCount="1">
    <brk id="40" min="0" max="16383" man="1"/>
  </rowBreaks>
</worksheet>
</file>

<file path=xl/worksheets/sheet3.xml><?xml version="1.0" encoding="utf-8"?>
<worksheet xmlns="http://schemas.openxmlformats.org/spreadsheetml/2006/main">
  <sheetPr>
    <tabColor rgb="002B5F8A"/>
    <outlinePr summaryBelow="1" summaryRight="1"/>
    <pageSetUpPr fitToPage="1"/>
  </sheetPr>
  <dimension ref="A1:G201"/>
  <sheetViews>
    <sheetView workbookViewId="0">
      <pane ySplit="1" topLeftCell="A2" activePane="bottomLeft" state="frozen"/>
      <selection pane="bottomLeft" activeCell="A1" sqref="A1"/>
    </sheetView>
  </sheetViews>
  <sheetFormatPr baseColWidth="8" defaultRowHeight="15"/>
  <cols>
    <col width="28" customWidth="1" min="1" max="1"/>
    <col width="26" customWidth="1" min="2" max="2"/>
    <col width="9" customWidth="1" min="3" max="3"/>
    <col width="10" customWidth="1" min="4" max="4"/>
    <col width="22" customWidth="1" min="5" max="5"/>
    <col width="24" customWidth="1" min="6" max="6"/>
    <col width="20" customWidth="1" min="7" max="7"/>
  </cols>
  <sheetData>
    <row r="1" ht="30" customHeight="1">
      <c r="A1" s="27" t="inlineStr">
        <is>
          <t>Builder</t>
        </is>
      </c>
      <c r="B1" s="27" t="inlineStr">
        <is>
          <t>Title company</t>
        </is>
      </c>
      <c r="C1" s="28" t="inlineStr">
        <is>
          <t>People</t>
        </is>
      </c>
      <c r="D1" s="28" t="inlineStr">
        <is>
          <t>Always CC</t>
        </is>
      </c>
      <c r="E1" s="27" t="inlineStr">
        <is>
          <t>Concession</t>
        </is>
      </c>
      <c r="F1" s="27" t="inlineStr">
        <is>
          <t>Calculated from</t>
        </is>
      </c>
      <c r="G1" s="27" t="inlineStr">
        <is>
          <t>Dropbox folder</t>
        </is>
      </c>
    </row>
    <row r="2">
      <c r="A2" s="29">
        <f>Builders!$A2&amp;""</f>
        <v/>
      </c>
      <c r="B2" s="29">
        <f>Builders!$B2&amp;""</f>
        <v/>
      </c>
      <c r="C2" s="31">
        <f>IF($A2="","",COUNTIF(Contacts!$A$2:$A$301,$A2))</f>
        <v/>
      </c>
      <c r="D2" s="31">
        <f>IF($A2="","",IF(COUNTIFS(Contacts!$A$2:$A$301,$A2,Contacts!$H$2:$H$301,"Yes")=0,"",COUNTIFS(Contacts!$A$2:$A$301,$A2,Contacts!$H$2:$H$301,"Yes")))</f>
        <v/>
      </c>
      <c r="E2" s="29">
        <f>Builders!$D2&amp;""</f>
        <v/>
      </c>
      <c r="F2" s="29">
        <f>Builders!$E2&amp;""</f>
        <v/>
      </c>
      <c r="G2" s="32">
        <f>IF(LEFT(Builders!$C2,4)="http",HYPERLINK(Builders!$C2,"Open folder"),Builders!$C2&amp;"")</f>
        <v/>
      </c>
    </row>
    <row r="3">
      <c r="A3" s="29">
        <f>Builders!$A3&amp;""</f>
        <v/>
      </c>
      <c r="B3" s="29">
        <f>Builders!$B3&amp;""</f>
        <v/>
      </c>
      <c r="C3" s="31">
        <f>IF($A3="","",COUNTIF(Contacts!$A$2:$A$301,$A3))</f>
        <v/>
      </c>
      <c r="D3" s="31">
        <f>IF($A3="","",IF(COUNTIFS(Contacts!$A$2:$A$301,$A3,Contacts!$H$2:$H$301,"Yes")=0,"",COUNTIFS(Contacts!$A$2:$A$301,$A3,Contacts!$H$2:$H$301,"Yes")))</f>
        <v/>
      </c>
      <c r="E3" s="29">
        <f>Builders!$D3&amp;""</f>
        <v/>
      </c>
      <c r="F3" s="29">
        <f>Builders!$E3&amp;""</f>
        <v/>
      </c>
      <c r="G3" s="32">
        <f>IF(LEFT(Builders!$C3,4)="http",HYPERLINK(Builders!$C3,"Open folder"),Builders!$C3&amp;"")</f>
        <v/>
      </c>
    </row>
    <row r="4">
      <c r="A4" s="29">
        <f>Builders!$A4&amp;""</f>
        <v/>
      </c>
      <c r="B4" s="29">
        <f>Builders!$B4&amp;""</f>
        <v/>
      </c>
      <c r="C4" s="31">
        <f>IF($A4="","",COUNTIF(Contacts!$A$2:$A$301,$A4))</f>
        <v/>
      </c>
      <c r="D4" s="31">
        <f>IF($A4="","",IF(COUNTIFS(Contacts!$A$2:$A$301,$A4,Contacts!$H$2:$H$301,"Yes")=0,"",COUNTIFS(Contacts!$A$2:$A$301,$A4,Contacts!$H$2:$H$301,"Yes")))</f>
        <v/>
      </c>
      <c r="E4" s="29">
        <f>Builders!$D4&amp;""</f>
        <v/>
      </c>
      <c r="F4" s="29">
        <f>Builders!$E4&amp;""</f>
        <v/>
      </c>
      <c r="G4" s="32">
        <f>IF(LEFT(Builders!$C4,4)="http",HYPERLINK(Builders!$C4,"Open folder"),Builders!$C4&amp;"")</f>
        <v/>
      </c>
    </row>
    <row r="5">
      <c r="A5" s="29">
        <f>Builders!$A5&amp;""</f>
        <v/>
      </c>
      <c r="B5" s="29">
        <f>Builders!$B5&amp;""</f>
        <v/>
      </c>
      <c r="C5" s="31">
        <f>IF($A5="","",COUNTIF(Contacts!$A$2:$A$301,$A5))</f>
        <v/>
      </c>
      <c r="D5" s="31">
        <f>IF($A5="","",IF(COUNTIFS(Contacts!$A$2:$A$301,$A5,Contacts!$H$2:$H$301,"Yes")=0,"",COUNTIFS(Contacts!$A$2:$A$301,$A5,Contacts!$H$2:$H$301,"Yes")))</f>
        <v/>
      </c>
      <c r="E5" s="29">
        <f>Builders!$D5&amp;""</f>
        <v/>
      </c>
      <c r="F5" s="29">
        <f>Builders!$E5&amp;""</f>
        <v/>
      </c>
      <c r="G5" s="32">
        <f>IF(LEFT(Builders!$C5,4)="http",HYPERLINK(Builders!$C5,"Open folder"),Builders!$C5&amp;"")</f>
        <v/>
      </c>
    </row>
    <row r="6">
      <c r="A6" s="29">
        <f>Builders!$A6&amp;""</f>
        <v/>
      </c>
      <c r="B6" s="29">
        <f>Builders!$B6&amp;""</f>
        <v/>
      </c>
      <c r="C6" s="31">
        <f>IF($A6="","",COUNTIF(Contacts!$A$2:$A$301,$A6))</f>
        <v/>
      </c>
      <c r="D6" s="31">
        <f>IF($A6="","",IF(COUNTIFS(Contacts!$A$2:$A$301,$A6,Contacts!$H$2:$H$301,"Yes")=0,"",COUNTIFS(Contacts!$A$2:$A$301,$A6,Contacts!$H$2:$H$301,"Yes")))</f>
        <v/>
      </c>
      <c r="E6" s="29">
        <f>Builders!$D6&amp;""</f>
        <v/>
      </c>
      <c r="F6" s="29">
        <f>Builders!$E6&amp;""</f>
        <v/>
      </c>
      <c r="G6" s="32">
        <f>IF(LEFT(Builders!$C6,4)="http",HYPERLINK(Builders!$C6,"Open folder"),Builders!$C6&amp;"")</f>
        <v/>
      </c>
    </row>
    <row r="7">
      <c r="A7" s="29">
        <f>Builders!$A7&amp;""</f>
        <v/>
      </c>
      <c r="B7" s="29">
        <f>Builders!$B7&amp;""</f>
        <v/>
      </c>
      <c r="C7" s="31">
        <f>IF($A7="","",COUNTIF(Contacts!$A$2:$A$301,$A7))</f>
        <v/>
      </c>
      <c r="D7" s="31">
        <f>IF($A7="","",IF(COUNTIFS(Contacts!$A$2:$A$301,$A7,Contacts!$H$2:$H$301,"Yes")=0,"",COUNTIFS(Contacts!$A$2:$A$301,$A7,Contacts!$H$2:$H$301,"Yes")))</f>
        <v/>
      </c>
      <c r="E7" s="29">
        <f>Builders!$D7&amp;""</f>
        <v/>
      </c>
      <c r="F7" s="29">
        <f>Builders!$E7&amp;""</f>
        <v/>
      </c>
      <c r="G7" s="32">
        <f>IF(LEFT(Builders!$C7,4)="http",HYPERLINK(Builders!$C7,"Open folder"),Builders!$C7&amp;"")</f>
        <v/>
      </c>
    </row>
    <row r="8">
      <c r="A8" s="29">
        <f>Builders!$A8&amp;""</f>
        <v/>
      </c>
      <c r="B8" s="29">
        <f>Builders!$B8&amp;""</f>
        <v/>
      </c>
      <c r="C8" s="31">
        <f>IF($A8="","",COUNTIF(Contacts!$A$2:$A$301,$A8))</f>
        <v/>
      </c>
      <c r="D8" s="31">
        <f>IF($A8="","",IF(COUNTIFS(Contacts!$A$2:$A$301,$A8,Contacts!$H$2:$H$301,"Yes")=0,"",COUNTIFS(Contacts!$A$2:$A$301,$A8,Contacts!$H$2:$H$301,"Yes")))</f>
        <v/>
      </c>
      <c r="E8" s="29">
        <f>Builders!$D8&amp;""</f>
        <v/>
      </c>
      <c r="F8" s="29">
        <f>Builders!$E8&amp;""</f>
        <v/>
      </c>
      <c r="G8" s="32">
        <f>IF(LEFT(Builders!$C8,4)="http",HYPERLINK(Builders!$C8,"Open folder"),Builders!$C8&amp;"")</f>
        <v/>
      </c>
    </row>
    <row r="9">
      <c r="A9" s="29">
        <f>Builders!$A9&amp;""</f>
        <v/>
      </c>
      <c r="B9" s="29">
        <f>Builders!$B9&amp;""</f>
        <v/>
      </c>
      <c r="C9" s="31">
        <f>IF($A9="","",COUNTIF(Contacts!$A$2:$A$301,$A9))</f>
        <v/>
      </c>
      <c r="D9" s="31">
        <f>IF($A9="","",IF(COUNTIFS(Contacts!$A$2:$A$301,$A9,Contacts!$H$2:$H$301,"Yes")=0,"",COUNTIFS(Contacts!$A$2:$A$301,$A9,Contacts!$H$2:$H$301,"Yes")))</f>
        <v/>
      </c>
      <c r="E9" s="29">
        <f>Builders!$D9&amp;""</f>
        <v/>
      </c>
      <c r="F9" s="29">
        <f>Builders!$E9&amp;""</f>
        <v/>
      </c>
      <c r="G9" s="32">
        <f>IF(LEFT(Builders!$C9,4)="http",HYPERLINK(Builders!$C9,"Open folder"),Builders!$C9&amp;"")</f>
        <v/>
      </c>
    </row>
    <row r="10">
      <c r="A10" s="29">
        <f>Builders!$A10&amp;""</f>
        <v/>
      </c>
      <c r="B10" s="29">
        <f>Builders!$B10&amp;""</f>
        <v/>
      </c>
      <c r="C10" s="31">
        <f>IF($A10="","",COUNTIF(Contacts!$A$2:$A$301,$A10))</f>
        <v/>
      </c>
      <c r="D10" s="31">
        <f>IF($A10="","",IF(COUNTIFS(Contacts!$A$2:$A$301,$A10,Contacts!$H$2:$H$301,"Yes")=0,"",COUNTIFS(Contacts!$A$2:$A$301,$A10,Contacts!$H$2:$H$301,"Yes")))</f>
        <v/>
      </c>
      <c r="E10" s="29">
        <f>Builders!$D10&amp;""</f>
        <v/>
      </c>
      <c r="F10" s="29">
        <f>Builders!$E10&amp;""</f>
        <v/>
      </c>
      <c r="G10" s="32">
        <f>IF(LEFT(Builders!$C10,4)="http",HYPERLINK(Builders!$C10,"Open folder"),Builders!$C10&amp;"")</f>
        <v/>
      </c>
    </row>
    <row r="11">
      <c r="A11" s="29">
        <f>Builders!$A11&amp;""</f>
        <v/>
      </c>
      <c r="B11" s="29">
        <f>Builders!$B11&amp;""</f>
        <v/>
      </c>
      <c r="C11" s="31">
        <f>IF($A11="","",COUNTIF(Contacts!$A$2:$A$301,$A11))</f>
        <v/>
      </c>
      <c r="D11" s="31">
        <f>IF($A11="","",IF(COUNTIFS(Contacts!$A$2:$A$301,$A11,Contacts!$H$2:$H$301,"Yes")=0,"",COUNTIFS(Contacts!$A$2:$A$301,$A11,Contacts!$H$2:$H$301,"Yes")))</f>
        <v/>
      </c>
      <c r="E11" s="29">
        <f>Builders!$D11&amp;""</f>
        <v/>
      </c>
      <c r="F11" s="29">
        <f>Builders!$E11&amp;""</f>
        <v/>
      </c>
      <c r="G11" s="32">
        <f>IF(LEFT(Builders!$C11,4)="http",HYPERLINK(Builders!$C11,"Open folder"),Builders!$C11&amp;"")</f>
        <v/>
      </c>
    </row>
    <row r="12">
      <c r="A12" s="29">
        <f>Builders!$A12&amp;""</f>
        <v/>
      </c>
      <c r="B12" s="29">
        <f>Builders!$B12&amp;""</f>
        <v/>
      </c>
      <c r="C12" s="31">
        <f>IF($A12="","",COUNTIF(Contacts!$A$2:$A$301,$A12))</f>
        <v/>
      </c>
      <c r="D12" s="31">
        <f>IF($A12="","",IF(COUNTIFS(Contacts!$A$2:$A$301,$A12,Contacts!$H$2:$H$301,"Yes")=0,"",COUNTIFS(Contacts!$A$2:$A$301,$A12,Contacts!$H$2:$H$301,"Yes")))</f>
        <v/>
      </c>
      <c r="E12" s="29">
        <f>Builders!$D12&amp;""</f>
        <v/>
      </c>
      <c r="F12" s="29">
        <f>Builders!$E12&amp;""</f>
        <v/>
      </c>
      <c r="G12" s="32">
        <f>IF(LEFT(Builders!$C12,4)="http",HYPERLINK(Builders!$C12,"Open folder"),Builders!$C12&amp;"")</f>
        <v/>
      </c>
    </row>
    <row r="13">
      <c r="A13" s="29">
        <f>Builders!$A13&amp;""</f>
        <v/>
      </c>
      <c r="B13" s="29">
        <f>Builders!$B13&amp;""</f>
        <v/>
      </c>
      <c r="C13" s="31">
        <f>IF($A13="","",COUNTIF(Contacts!$A$2:$A$301,$A13))</f>
        <v/>
      </c>
      <c r="D13" s="31">
        <f>IF($A13="","",IF(COUNTIFS(Contacts!$A$2:$A$301,$A13,Contacts!$H$2:$H$301,"Yes")=0,"",COUNTIFS(Contacts!$A$2:$A$301,$A13,Contacts!$H$2:$H$301,"Yes")))</f>
        <v/>
      </c>
      <c r="E13" s="29">
        <f>Builders!$D13&amp;""</f>
        <v/>
      </c>
      <c r="F13" s="29">
        <f>Builders!$E13&amp;""</f>
        <v/>
      </c>
      <c r="G13" s="32">
        <f>IF(LEFT(Builders!$C13,4)="http",HYPERLINK(Builders!$C13,"Open folder"),Builders!$C13&amp;"")</f>
        <v/>
      </c>
    </row>
    <row r="14">
      <c r="A14" s="29">
        <f>Builders!$A14&amp;""</f>
        <v/>
      </c>
      <c r="B14" s="29">
        <f>Builders!$B14&amp;""</f>
        <v/>
      </c>
      <c r="C14" s="31">
        <f>IF($A14="","",COUNTIF(Contacts!$A$2:$A$301,$A14))</f>
        <v/>
      </c>
      <c r="D14" s="31">
        <f>IF($A14="","",IF(COUNTIFS(Contacts!$A$2:$A$301,$A14,Contacts!$H$2:$H$301,"Yes")=0,"",COUNTIFS(Contacts!$A$2:$A$301,$A14,Contacts!$H$2:$H$301,"Yes")))</f>
        <v/>
      </c>
      <c r="E14" s="29">
        <f>Builders!$D14&amp;""</f>
        <v/>
      </c>
      <c r="F14" s="29">
        <f>Builders!$E14&amp;""</f>
        <v/>
      </c>
      <c r="G14" s="32">
        <f>IF(LEFT(Builders!$C14,4)="http",HYPERLINK(Builders!$C14,"Open folder"),Builders!$C14&amp;"")</f>
        <v/>
      </c>
    </row>
    <row r="15">
      <c r="A15" s="29">
        <f>Builders!$A15&amp;""</f>
        <v/>
      </c>
      <c r="B15" s="29">
        <f>Builders!$B15&amp;""</f>
        <v/>
      </c>
      <c r="C15" s="31">
        <f>IF($A15="","",COUNTIF(Contacts!$A$2:$A$301,$A15))</f>
        <v/>
      </c>
      <c r="D15" s="31">
        <f>IF($A15="","",IF(COUNTIFS(Contacts!$A$2:$A$301,$A15,Contacts!$H$2:$H$301,"Yes")=0,"",COUNTIFS(Contacts!$A$2:$A$301,$A15,Contacts!$H$2:$H$301,"Yes")))</f>
        <v/>
      </c>
      <c r="E15" s="29">
        <f>Builders!$D15&amp;""</f>
        <v/>
      </c>
      <c r="F15" s="29">
        <f>Builders!$E15&amp;""</f>
        <v/>
      </c>
      <c r="G15" s="32">
        <f>IF(LEFT(Builders!$C15,4)="http",HYPERLINK(Builders!$C15,"Open folder"),Builders!$C15&amp;"")</f>
        <v/>
      </c>
    </row>
    <row r="16">
      <c r="A16" s="29">
        <f>Builders!$A16&amp;""</f>
        <v/>
      </c>
      <c r="B16" s="29">
        <f>Builders!$B16&amp;""</f>
        <v/>
      </c>
      <c r="C16" s="31">
        <f>IF($A16="","",COUNTIF(Contacts!$A$2:$A$301,$A16))</f>
        <v/>
      </c>
      <c r="D16" s="31">
        <f>IF($A16="","",IF(COUNTIFS(Contacts!$A$2:$A$301,$A16,Contacts!$H$2:$H$301,"Yes")=0,"",COUNTIFS(Contacts!$A$2:$A$301,$A16,Contacts!$H$2:$H$301,"Yes")))</f>
        <v/>
      </c>
      <c r="E16" s="29">
        <f>Builders!$D16&amp;""</f>
        <v/>
      </c>
      <c r="F16" s="29">
        <f>Builders!$E16&amp;""</f>
        <v/>
      </c>
      <c r="G16" s="32">
        <f>IF(LEFT(Builders!$C16,4)="http",HYPERLINK(Builders!$C16,"Open folder"),Builders!$C16&amp;"")</f>
        <v/>
      </c>
    </row>
    <row r="17">
      <c r="A17" s="29">
        <f>Builders!$A17&amp;""</f>
        <v/>
      </c>
      <c r="B17" s="29">
        <f>Builders!$B17&amp;""</f>
        <v/>
      </c>
      <c r="C17" s="31">
        <f>IF($A17="","",COUNTIF(Contacts!$A$2:$A$301,$A17))</f>
        <v/>
      </c>
      <c r="D17" s="31">
        <f>IF($A17="","",IF(COUNTIFS(Contacts!$A$2:$A$301,$A17,Contacts!$H$2:$H$301,"Yes")=0,"",COUNTIFS(Contacts!$A$2:$A$301,$A17,Contacts!$H$2:$H$301,"Yes")))</f>
        <v/>
      </c>
      <c r="E17" s="29">
        <f>Builders!$D17&amp;""</f>
        <v/>
      </c>
      <c r="F17" s="29">
        <f>Builders!$E17&amp;""</f>
        <v/>
      </c>
      <c r="G17" s="32">
        <f>IF(LEFT(Builders!$C17,4)="http",HYPERLINK(Builders!$C17,"Open folder"),Builders!$C17&amp;"")</f>
        <v/>
      </c>
    </row>
    <row r="18">
      <c r="A18" s="29">
        <f>Builders!$A18&amp;""</f>
        <v/>
      </c>
      <c r="B18" s="29">
        <f>Builders!$B18&amp;""</f>
        <v/>
      </c>
      <c r="C18" s="31">
        <f>IF($A18="","",COUNTIF(Contacts!$A$2:$A$301,$A18))</f>
        <v/>
      </c>
      <c r="D18" s="31">
        <f>IF($A18="","",IF(COUNTIFS(Contacts!$A$2:$A$301,$A18,Contacts!$H$2:$H$301,"Yes")=0,"",COUNTIFS(Contacts!$A$2:$A$301,$A18,Contacts!$H$2:$H$301,"Yes")))</f>
        <v/>
      </c>
      <c r="E18" s="29">
        <f>Builders!$D18&amp;""</f>
        <v/>
      </c>
      <c r="F18" s="29">
        <f>Builders!$E18&amp;""</f>
        <v/>
      </c>
      <c r="G18" s="32">
        <f>IF(LEFT(Builders!$C18,4)="http",HYPERLINK(Builders!$C18,"Open folder"),Builders!$C18&amp;"")</f>
        <v/>
      </c>
    </row>
    <row r="19">
      <c r="A19" s="29">
        <f>Builders!$A19&amp;""</f>
        <v/>
      </c>
      <c r="B19" s="29">
        <f>Builders!$B19&amp;""</f>
        <v/>
      </c>
      <c r="C19" s="31">
        <f>IF($A19="","",COUNTIF(Contacts!$A$2:$A$301,$A19))</f>
        <v/>
      </c>
      <c r="D19" s="31">
        <f>IF($A19="","",IF(COUNTIFS(Contacts!$A$2:$A$301,$A19,Contacts!$H$2:$H$301,"Yes")=0,"",COUNTIFS(Contacts!$A$2:$A$301,$A19,Contacts!$H$2:$H$301,"Yes")))</f>
        <v/>
      </c>
      <c r="E19" s="29">
        <f>Builders!$D19&amp;""</f>
        <v/>
      </c>
      <c r="F19" s="29">
        <f>Builders!$E19&amp;""</f>
        <v/>
      </c>
      <c r="G19" s="32">
        <f>IF(LEFT(Builders!$C19,4)="http",HYPERLINK(Builders!$C19,"Open folder"),Builders!$C19&amp;"")</f>
        <v/>
      </c>
    </row>
    <row r="20">
      <c r="A20" s="29">
        <f>Builders!$A20&amp;""</f>
        <v/>
      </c>
      <c r="B20" s="29">
        <f>Builders!$B20&amp;""</f>
        <v/>
      </c>
      <c r="C20" s="31">
        <f>IF($A20="","",COUNTIF(Contacts!$A$2:$A$301,$A20))</f>
        <v/>
      </c>
      <c r="D20" s="31">
        <f>IF($A20="","",IF(COUNTIFS(Contacts!$A$2:$A$301,$A20,Contacts!$H$2:$H$301,"Yes")=0,"",COUNTIFS(Contacts!$A$2:$A$301,$A20,Contacts!$H$2:$H$301,"Yes")))</f>
        <v/>
      </c>
      <c r="E20" s="29">
        <f>Builders!$D20&amp;""</f>
        <v/>
      </c>
      <c r="F20" s="29">
        <f>Builders!$E20&amp;""</f>
        <v/>
      </c>
      <c r="G20" s="32">
        <f>IF(LEFT(Builders!$C20,4)="http",HYPERLINK(Builders!$C20,"Open folder"),Builders!$C20&amp;"")</f>
        <v/>
      </c>
    </row>
    <row r="21">
      <c r="A21" s="29">
        <f>Builders!$A21&amp;""</f>
        <v/>
      </c>
      <c r="B21" s="29">
        <f>Builders!$B21&amp;""</f>
        <v/>
      </c>
      <c r="C21" s="31">
        <f>IF($A21="","",COUNTIF(Contacts!$A$2:$A$301,$A21))</f>
        <v/>
      </c>
      <c r="D21" s="31">
        <f>IF($A21="","",IF(COUNTIFS(Contacts!$A$2:$A$301,$A21,Contacts!$H$2:$H$301,"Yes")=0,"",COUNTIFS(Contacts!$A$2:$A$301,$A21,Contacts!$H$2:$H$301,"Yes")))</f>
        <v/>
      </c>
      <c r="E21" s="29">
        <f>Builders!$D21&amp;""</f>
        <v/>
      </c>
      <c r="F21" s="29">
        <f>Builders!$E21&amp;""</f>
        <v/>
      </c>
      <c r="G21" s="32">
        <f>IF(LEFT(Builders!$C21,4)="http",HYPERLINK(Builders!$C21,"Open folder"),Builders!$C21&amp;"")</f>
        <v/>
      </c>
    </row>
    <row r="22">
      <c r="A22" s="29">
        <f>Builders!$A22&amp;""</f>
        <v/>
      </c>
      <c r="B22" s="29">
        <f>Builders!$B22&amp;""</f>
        <v/>
      </c>
      <c r="C22" s="31">
        <f>IF($A22="","",COUNTIF(Contacts!$A$2:$A$301,$A22))</f>
        <v/>
      </c>
      <c r="D22" s="31">
        <f>IF($A22="","",IF(COUNTIFS(Contacts!$A$2:$A$301,$A22,Contacts!$H$2:$H$301,"Yes")=0,"",COUNTIFS(Contacts!$A$2:$A$301,$A22,Contacts!$H$2:$H$301,"Yes")))</f>
        <v/>
      </c>
      <c r="E22" s="29">
        <f>Builders!$D22&amp;""</f>
        <v/>
      </c>
      <c r="F22" s="29">
        <f>Builders!$E22&amp;""</f>
        <v/>
      </c>
      <c r="G22" s="32">
        <f>IF(LEFT(Builders!$C22,4)="http",HYPERLINK(Builders!$C22,"Open folder"),Builders!$C22&amp;"")</f>
        <v/>
      </c>
    </row>
    <row r="23">
      <c r="A23" s="29">
        <f>Builders!$A23&amp;""</f>
        <v/>
      </c>
      <c r="B23" s="29">
        <f>Builders!$B23&amp;""</f>
        <v/>
      </c>
      <c r="C23" s="31">
        <f>IF($A23="","",COUNTIF(Contacts!$A$2:$A$301,$A23))</f>
        <v/>
      </c>
      <c r="D23" s="31">
        <f>IF($A23="","",IF(COUNTIFS(Contacts!$A$2:$A$301,$A23,Contacts!$H$2:$H$301,"Yes")=0,"",COUNTIFS(Contacts!$A$2:$A$301,$A23,Contacts!$H$2:$H$301,"Yes")))</f>
        <v/>
      </c>
      <c r="E23" s="29">
        <f>Builders!$D23&amp;""</f>
        <v/>
      </c>
      <c r="F23" s="29">
        <f>Builders!$E23&amp;""</f>
        <v/>
      </c>
      <c r="G23" s="32">
        <f>IF(LEFT(Builders!$C23,4)="http",HYPERLINK(Builders!$C23,"Open folder"),Builders!$C23&amp;"")</f>
        <v/>
      </c>
    </row>
    <row r="24">
      <c r="A24" s="29">
        <f>Builders!$A24&amp;""</f>
        <v/>
      </c>
      <c r="B24" s="29">
        <f>Builders!$B24&amp;""</f>
        <v/>
      </c>
      <c r="C24" s="31">
        <f>IF($A24="","",COUNTIF(Contacts!$A$2:$A$301,$A24))</f>
        <v/>
      </c>
      <c r="D24" s="31">
        <f>IF($A24="","",IF(COUNTIFS(Contacts!$A$2:$A$301,$A24,Contacts!$H$2:$H$301,"Yes")=0,"",COUNTIFS(Contacts!$A$2:$A$301,$A24,Contacts!$H$2:$H$301,"Yes")))</f>
        <v/>
      </c>
      <c r="E24" s="29">
        <f>Builders!$D24&amp;""</f>
        <v/>
      </c>
      <c r="F24" s="29">
        <f>Builders!$E24&amp;""</f>
        <v/>
      </c>
      <c r="G24" s="32">
        <f>IF(LEFT(Builders!$C24,4)="http",HYPERLINK(Builders!$C24,"Open folder"),Builders!$C24&amp;"")</f>
        <v/>
      </c>
    </row>
    <row r="25">
      <c r="A25" s="29">
        <f>Builders!$A25&amp;""</f>
        <v/>
      </c>
      <c r="B25" s="29">
        <f>Builders!$B25&amp;""</f>
        <v/>
      </c>
      <c r="C25" s="31">
        <f>IF($A25="","",COUNTIF(Contacts!$A$2:$A$301,$A25))</f>
        <v/>
      </c>
      <c r="D25" s="31">
        <f>IF($A25="","",IF(COUNTIFS(Contacts!$A$2:$A$301,$A25,Contacts!$H$2:$H$301,"Yes")=0,"",COUNTIFS(Contacts!$A$2:$A$301,$A25,Contacts!$H$2:$H$301,"Yes")))</f>
        <v/>
      </c>
      <c r="E25" s="29">
        <f>Builders!$D25&amp;""</f>
        <v/>
      </c>
      <c r="F25" s="29">
        <f>Builders!$E25&amp;""</f>
        <v/>
      </c>
      <c r="G25" s="32">
        <f>IF(LEFT(Builders!$C25,4)="http",HYPERLINK(Builders!$C25,"Open folder"),Builders!$C25&amp;"")</f>
        <v/>
      </c>
    </row>
    <row r="26">
      <c r="A26" s="29">
        <f>Builders!$A26&amp;""</f>
        <v/>
      </c>
      <c r="B26" s="29">
        <f>Builders!$B26&amp;""</f>
        <v/>
      </c>
      <c r="C26" s="31">
        <f>IF($A26="","",COUNTIF(Contacts!$A$2:$A$301,$A26))</f>
        <v/>
      </c>
      <c r="D26" s="31">
        <f>IF($A26="","",IF(COUNTIFS(Contacts!$A$2:$A$301,$A26,Contacts!$H$2:$H$301,"Yes")=0,"",COUNTIFS(Contacts!$A$2:$A$301,$A26,Contacts!$H$2:$H$301,"Yes")))</f>
        <v/>
      </c>
      <c r="E26" s="29">
        <f>Builders!$D26&amp;""</f>
        <v/>
      </c>
      <c r="F26" s="29">
        <f>Builders!$E26&amp;""</f>
        <v/>
      </c>
      <c r="G26" s="32">
        <f>IF(LEFT(Builders!$C26,4)="http",HYPERLINK(Builders!$C26,"Open folder"),Builders!$C26&amp;"")</f>
        <v/>
      </c>
    </row>
    <row r="27">
      <c r="A27" s="29">
        <f>Builders!$A27&amp;""</f>
        <v/>
      </c>
      <c r="B27" s="29">
        <f>Builders!$B27&amp;""</f>
        <v/>
      </c>
      <c r="C27" s="31">
        <f>IF($A27="","",COUNTIF(Contacts!$A$2:$A$301,$A27))</f>
        <v/>
      </c>
      <c r="D27" s="31">
        <f>IF($A27="","",IF(COUNTIFS(Contacts!$A$2:$A$301,$A27,Contacts!$H$2:$H$301,"Yes")=0,"",COUNTIFS(Contacts!$A$2:$A$301,$A27,Contacts!$H$2:$H$301,"Yes")))</f>
        <v/>
      </c>
      <c r="E27" s="29">
        <f>Builders!$D27&amp;""</f>
        <v/>
      </c>
      <c r="F27" s="29">
        <f>Builders!$E27&amp;""</f>
        <v/>
      </c>
      <c r="G27" s="32">
        <f>IF(LEFT(Builders!$C27,4)="http",HYPERLINK(Builders!$C27,"Open folder"),Builders!$C27&amp;"")</f>
        <v/>
      </c>
    </row>
    <row r="28">
      <c r="A28" s="29">
        <f>Builders!$A28&amp;""</f>
        <v/>
      </c>
      <c r="B28" s="29">
        <f>Builders!$B28&amp;""</f>
        <v/>
      </c>
      <c r="C28" s="31">
        <f>IF($A28="","",COUNTIF(Contacts!$A$2:$A$301,$A28))</f>
        <v/>
      </c>
      <c r="D28" s="31">
        <f>IF($A28="","",IF(COUNTIFS(Contacts!$A$2:$A$301,$A28,Contacts!$H$2:$H$301,"Yes")=0,"",COUNTIFS(Contacts!$A$2:$A$301,$A28,Contacts!$H$2:$H$301,"Yes")))</f>
        <v/>
      </c>
      <c r="E28" s="29">
        <f>Builders!$D28&amp;""</f>
        <v/>
      </c>
      <c r="F28" s="29">
        <f>Builders!$E28&amp;""</f>
        <v/>
      </c>
      <c r="G28" s="32">
        <f>IF(LEFT(Builders!$C28,4)="http",HYPERLINK(Builders!$C28,"Open folder"),Builders!$C28&amp;"")</f>
        <v/>
      </c>
    </row>
    <row r="29">
      <c r="A29" s="29">
        <f>Builders!$A29&amp;""</f>
        <v/>
      </c>
      <c r="B29" s="29">
        <f>Builders!$B29&amp;""</f>
        <v/>
      </c>
      <c r="C29" s="31">
        <f>IF($A29="","",COUNTIF(Contacts!$A$2:$A$301,$A29))</f>
        <v/>
      </c>
      <c r="D29" s="31">
        <f>IF($A29="","",IF(COUNTIFS(Contacts!$A$2:$A$301,$A29,Contacts!$H$2:$H$301,"Yes")=0,"",COUNTIFS(Contacts!$A$2:$A$301,$A29,Contacts!$H$2:$H$301,"Yes")))</f>
        <v/>
      </c>
      <c r="E29" s="29">
        <f>Builders!$D29&amp;""</f>
        <v/>
      </c>
      <c r="F29" s="29">
        <f>Builders!$E29&amp;""</f>
        <v/>
      </c>
      <c r="G29" s="32">
        <f>IF(LEFT(Builders!$C29,4)="http",HYPERLINK(Builders!$C29,"Open folder"),Builders!$C29&amp;"")</f>
        <v/>
      </c>
    </row>
    <row r="30">
      <c r="A30" s="29">
        <f>Builders!$A30&amp;""</f>
        <v/>
      </c>
      <c r="B30" s="29">
        <f>Builders!$B30&amp;""</f>
        <v/>
      </c>
      <c r="C30" s="31">
        <f>IF($A30="","",COUNTIF(Contacts!$A$2:$A$301,$A30))</f>
        <v/>
      </c>
      <c r="D30" s="31">
        <f>IF($A30="","",IF(COUNTIFS(Contacts!$A$2:$A$301,$A30,Contacts!$H$2:$H$301,"Yes")=0,"",COUNTIFS(Contacts!$A$2:$A$301,$A30,Contacts!$H$2:$H$301,"Yes")))</f>
        <v/>
      </c>
      <c r="E30" s="29">
        <f>Builders!$D30&amp;""</f>
        <v/>
      </c>
      <c r="F30" s="29">
        <f>Builders!$E30&amp;""</f>
        <v/>
      </c>
      <c r="G30" s="32">
        <f>IF(LEFT(Builders!$C30,4)="http",HYPERLINK(Builders!$C30,"Open folder"),Builders!$C30&amp;"")</f>
        <v/>
      </c>
    </row>
    <row r="31">
      <c r="A31" s="29">
        <f>Builders!$A31&amp;""</f>
        <v/>
      </c>
      <c r="B31" s="29">
        <f>Builders!$B31&amp;""</f>
        <v/>
      </c>
      <c r="C31" s="31">
        <f>IF($A31="","",COUNTIF(Contacts!$A$2:$A$301,$A31))</f>
        <v/>
      </c>
      <c r="D31" s="31">
        <f>IF($A31="","",IF(COUNTIFS(Contacts!$A$2:$A$301,$A31,Contacts!$H$2:$H$301,"Yes")=0,"",COUNTIFS(Contacts!$A$2:$A$301,$A31,Contacts!$H$2:$H$301,"Yes")))</f>
        <v/>
      </c>
      <c r="E31" s="29">
        <f>Builders!$D31&amp;""</f>
        <v/>
      </c>
      <c r="F31" s="29">
        <f>Builders!$E31&amp;""</f>
        <v/>
      </c>
      <c r="G31" s="32">
        <f>IF(LEFT(Builders!$C31,4)="http",HYPERLINK(Builders!$C31,"Open folder"),Builders!$C31&amp;"")</f>
        <v/>
      </c>
    </row>
    <row r="32">
      <c r="A32" s="29">
        <f>Builders!$A32&amp;""</f>
        <v/>
      </c>
      <c r="B32" s="29">
        <f>Builders!$B32&amp;""</f>
        <v/>
      </c>
      <c r="C32" s="31">
        <f>IF($A32="","",COUNTIF(Contacts!$A$2:$A$301,$A32))</f>
        <v/>
      </c>
      <c r="D32" s="31">
        <f>IF($A32="","",IF(COUNTIFS(Contacts!$A$2:$A$301,$A32,Contacts!$H$2:$H$301,"Yes")=0,"",COUNTIFS(Contacts!$A$2:$A$301,$A32,Contacts!$H$2:$H$301,"Yes")))</f>
        <v/>
      </c>
      <c r="E32" s="29">
        <f>Builders!$D32&amp;""</f>
        <v/>
      </c>
      <c r="F32" s="29">
        <f>Builders!$E32&amp;""</f>
        <v/>
      </c>
      <c r="G32" s="32">
        <f>IF(LEFT(Builders!$C32,4)="http",HYPERLINK(Builders!$C32,"Open folder"),Builders!$C32&amp;"")</f>
        <v/>
      </c>
    </row>
    <row r="33">
      <c r="A33" s="29">
        <f>Builders!$A33&amp;""</f>
        <v/>
      </c>
      <c r="B33" s="29">
        <f>Builders!$B33&amp;""</f>
        <v/>
      </c>
      <c r="C33" s="31">
        <f>IF($A33="","",COUNTIF(Contacts!$A$2:$A$301,$A33))</f>
        <v/>
      </c>
      <c r="D33" s="31">
        <f>IF($A33="","",IF(COUNTIFS(Contacts!$A$2:$A$301,$A33,Contacts!$H$2:$H$301,"Yes")=0,"",COUNTIFS(Contacts!$A$2:$A$301,$A33,Contacts!$H$2:$H$301,"Yes")))</f>
        <v/>
      </c>
      <c r="E33" s="29">
        <f>Builders!$D33&amp;""</f>
        <v/>
      </c>
      <c r="F33" s="29">
        <f>Builders!$E33&amp;""</f>
        <v/>
      </c>
      <c r="G33" s="32">
        <f>IF(LEFT(Builders!$C33,4)="http",HYPERLINK(Builders!$C33,"Open folder"),Builders!$C33&amp;"")</f>
        <v/>
      </c>
    </row>
    <row r="34">
      <c r="A34" s="29">
        <f>Builders!$A34&amp;""</f>
        <v/>
      </c>
      <c r="B34" s="29">
        <f>Builders!$B34&amp;""</f>
        <v/>
      </c>
      <c r="C34" s="31">
        <f>IF($A34="","",COUNTIF(Contacts!$A$2:$A$301,$A34))</f>
        <v/>
      </c>
      <c r="D34" s="31">
        <f>IF($A34="","",IF(COUNTIFS(Contacts!$A$2:$A$301,$A34,Contacts!$H$2:$H$301,"Yes")=0,"",COUNTIFS(Contacts!$A$2:$A$301,$A34,Contacts!$H$2:$H$301,"Yes")))</f>
        <v/>
      </c>
      <c r="E34" s="29">
        <f>Builders!$D34&amp;""</f>
        <v/>
      </c>
      <c r="F34" s="29">
        <f>Builders!$E34&amp;""</f>
        <v/>
      </c>
      <c r="G34" s="32">
        <f>IF(LEFT(Builders!$C34,4)="http",HYPERLINK(Builders!$C34,"Open folder"),Builders!$C34&amp;"")</f>
        <v/>
      </c>
    </row>
    <row r="35">
      <c r="A35" s="29">
        <f>Builders!$A35&amp;""</f>
        <v/>
      </c>
      <c r="B35" s="29">
        <f>Builders!$B35&amp;""</f>
        <v/>
      </c>
      <c r="C35" s="31">
        <f>IF($A35="","",COUNTIF(Contacts!$A$2:$A$301,$A35))</f>
        <v/>
      </c>
      <c r="D35" s="31">
        <f>IF($A35="","",IF(COUNTIFS(Contacts!$A$2:$A$301,$A35,Contacts!$H$2:$H$301,"Yes")=0,"",COUNTIFS(Contacts!$A$2:$A$301,$A35,Contacts!$H$2:$H$301,"Yes")))</f>
        <v/>
      </c>
      <c r="E35" s="29">
        <f>Builders!$D35&amp;""</f>
        <v/>
      </c>
      <c r="F35" s="29">
        <f>Builders!$E35&amp;""</f>
        <v/>
      </c>
      <c r="G35" s="32">
        <f>IF(LEFT(Builders!$C35,4)="http",HYPERLINK(Builders!$C35,"Open folder"),Builders!$C35&amp;"")</f>
        <v/>
      </c>
    </row>
    <row r="36">
      <c r="A36" s="29">
        <f>Builders!$A36&amp;""</f>
        <v/>
      </c>
      <c r="B36" s="29">
        <f>Builders!$B36&amp;""</f>
        <v/>
      </c>
      <c r="C36" s="31">
        <f>IF($A36="","",COUNTIF(Contacts!$A$2:$A$301,$A36))</f>
        <v/>
      </c>
      <c r="D36" s="31">
        <f>IF($A36="","",IF(COUNTIFS(Contacts!$A$2:$A$301,$A36,Contacts!$H$2:$H$301,"Yes")=0,"",COUNTIFS(Contacts!$A$2:$A$301,$A36,Contacts!$H$2:$H$301,"Yes")))</f>
        <v/>
      </c>
      <c r="E36" s="29">
        <f>Builders!$D36&amp;""</f>
        <v/>
      </c>
      <c r="F36" s="29">
        <f>Builders!$E36&amp;""</f>
        <v/>
      </c>
      <c r="G36" s="32">
        <f>IF(LEFT(Builders!$C36,4)="http",HYPERLINK(Builders!$C36,"Open folder"),Builders!$C36&amp;"")</f>
        <v/>
      </c>
    </row>
    <row r="37">
      <c r="A37" s="29">
        <f>Builders!$A37&amp;""</f>
        <v/>
      </c>
      <c r="B37" s="29">
        <f>Builders!$B37&amp;""</f>
        <v/>
      </c>
      <c r="C37" s="31">
        <f>IF($A37="","",COUNTIF(Contacts!$A$2:$A$301,$A37))</f>
        <v/>
      </c>
      <c r="D37" s="31">
        <f>IF($A37="","",IF(COUNTIFS(Contacts!$A$2:$A$301,$A37,Contacts!$H$2:$H$301,"Yes")=0,"",COUNTIFS(Contacts!$A$2:$A$301,$A37,Contacts!$H$2:$H$301,"Yes")))</f>
        <v/>
      </c>
      <c r="E37" s="29">
        <f>Builders!$D37&amp;""</f>
        <v/>
      </c>
      <c r="F37" s="29">
        <f>Builders!$E37&amp;""</f>
        <v/>
      </c>
      <c r="G37" s="32">
        <f>IF(LEFT(Builders!$C37,4)="http",HYPERLINK(Builders!$C37,"Open folder"),Builders!$C37&amp;"")</f>
        <v/>
      </c>
    </row>
    <row r="38">
      <c r="A38" s="29">
        <f>Builders!$A38&amp;""</f>
        <v/>
      </c>
      <c r="B38" s="29">
        <f>Builders!$B38&amp;""</f>
        <v/>
      </c>
      <c r="C38" s="31">
        <f>IF($A38="","",COUNTIF(Contacts!$A$2:$A$301,$A38))</f>
        <v/>
      </c>
      <c r="D38" s="31">
        <f>IF($A38="","",IF(COUNTIFS(Contacts!$A$2:$A$301,$A38,Contacts!$H$2:$H$301,"Yes")=0,"",COUNTIFS(Contacts!$A$2:$A$301,$A38,Contacts!$H$2:$H$301,"Yes")))</f>
        <v/>
      </c>
      <c r="E38" s="29">
        <f>Builders!$D38&amp;""</f>
        <v/>
      </c>
      <c r="F38" s="29">
        <f>Builders!$E38&amp;""</f>
        <v/>
      </c>
      <c r="G38" s="32">
        <f>IF(LEFT(Builders!$C38,4)="http",HYPERLINK(Builders!$C38,"Open folder"),Builders!$C38&amp;"")</f>
        <v/>
      </c>
    </row>
    <row r="39">
      <c r="A39" s="29">
        <f>Builders!$A39&amp;""</f>
        <v/>
      </c>
      <c r="B39" s="29">
        <f>Builders!$B39&amp;""</f>
        <v/>
      </c>
      <c r="C39" s="31">
        <f>IF($A39="","",COUNTIF(Contacts!$A$2:$A$301,$A39))</f>
        <v/>
      </c>
      <c r="D39" s="31">
        <f>IF($A39="","",IF(COUNTIFS(Contacts!$A$2:$A$301,$A39,Contacts!$H$2:$H$301,"Yes")=0,"",COUNTIFS(Contacts!$A$2:$A$301,$A39,Contacts!$H$2:$H$301,"Yes")))</f>
        <v/>
      </c>
      <c r="E39" s="29">
        <f>Builders!$D39&amp;""</f>
        <v/>
      </c>
      <c r="F39" s="29">
        <f>Builders!$E39&amp;""</f>
        <v/>
      </c>
      <c r="G39" s="32">
        <f>IF(LEFT(Builders!$C39,4)="http",HYPERLINK(Builders!$C39,"Open folder"),Builders!$C39&amp;"")</f>
        <v/>
      </c>
    </row>
    <row r="40">
      <c r="A40" s="29">
        <f>Builders!$A40&amp;""</f>
        <v/>
      </c>
      <c r="B40" s="29">
        <f>Builders!$B40&amp;""</f>
        <v/>
      </c>
      <c r="C40" s="31">
        <f>IF($A40="","",COUNTIF(Contacts!$A$2:$A$301,$A40))</f>
        <v/>
      </c>
      <c r="D40" s="31">
        <f>IF($A40="","",IF(COUNTIFS(Contacts!$A$2:$A$301,$A40,Contacts!$H$2:$H$301,"Yes")=0,"",COUNTIFS(Contacts!$A$2:$A$301,$A40,Contacts!$H$2:$H$301,"Yes")))</f>
        <v/>
      </c>
      <c r="E40" s="29">
        <f>Builders!$D40&amp;""</f>
        <v/>
      </c>
      <c r="F40" s="29">
        <f>Builders!$E40&amp;""</f>
        <v/>
      </c>
      <c r="G40" s="32">
        <f>IF(LEFT(Builders!$C40,4)="http",HYPERLINK(Builders!$C40,"Open folder"),Builders!$C40&amp;"")</f>
        <v/>
      </c>
    </row>
    <row r="41">
      <c r="A41" s="29">
        <f>Builders!$A41&amp;""</f>
        <v/>
      </c>
      <c r="B41" s="29">
        <f>Builders!$B41&amp;""</f>
        <v/>
      </c>
      <c r="C41" s="31">
        <f>IF($A41="","",COUNTIF(Contacts!$A$2:$A$301,$A41))</f>
        <v/>
      </c>
      <c r="D41" s="31">
        <f>IF($A41="","",IF(COUNTIFS(Contacts!$A$2:$A$301,$A41,Contacts!$H$2:$H$301,"Yes")=0,"",COUNTIFS(Contacts!$A$2:$A$301,$A41,Contacts!$H$2:$H$301,"Yes")))</f>
        <v/>
      </c>
      <c r="E41" s="29">
        <f>Builders!$D41&amp;""</f>
        <v/>
      </c>
      <c r="F41" s="29">
        <f>Builders!$E41&amp;""</f>
        <v/>
      </c>
      <c r="G41" s="32">
        <f>IF(LEFT(Builders!$C41,4)="http",HYPERLINK(Builders!$C41,"Open folder"),Builders!$C41&amp;"")</f>
        <v/>
      </c>
    </row>
    <row r="42">
      <c r="A42" s="29">
        <f>Builders!$A42&amp;""</f>
        <v/>
      </c>
      <c r="B42" s="29">
        <f>Builders!$B42&amp;""</f>
        <v/>
      </c>
      <c r="C42" s="31">
        <f>IF($A42="","",COUNTIF(Contacts!$A$2:$A$301,$A42))</f>
        <v/>
      </c>
      <c r="D42" s="31">
        <f>IF($A42="","",IF(COUNTIFS(Contacts!$A$2:$A$301,$A42,Contacts!$H$2:$H$301,"Yes")=0,"",COUNTIFS(Contacts!$A$2:$A$301,$A42,Contacts!$H$2:$H$301,"Yes")))</f>
        <v/>
      </c>
      <c r="E42" s="29">
        <f>Builders!$D42&amp;""</f>
        <v/>
      </c>
      <c r="F42" s="29">
        <f>Builders!$E42&amp;""</f>
        <v/>
      </c>
      <c r="G42" s="32">
        <f>IF(LEFT(Builders!$C42,4)="http",HYPERLINK(Builders!$C42,"Open folder"),Builders!$C42&amp;"")</f>
        <v/>
      </c>
    </row>
    <row r="43">
      <c r="A43" s="29">
        <f>Builders!$A43&amp;""</f>
        <v/>
      </c>
      <c r="B43" s="29">
        <f>Builders!$B43&amp;""</f>
        <v/>
      </c>
      <c r="C43" s="31">
        <f>IF($A43="","",COUNTIF(Contacts!$A$2:$A$301,$A43))</f>
        <v/>
      </c>
      <c r="D43" s="31">
        <f>IF($A43="","",IF(COUNTIFS(Contacts!$A$2:$A$301,$A43,Contacts!$H$2:$H$301,"Yes")=0,"",COUNTIFS(Contacts!$A$2:$A$301,$A43,Contacts!$H$2:$H$301,"Yes")))</f>
        <v/>
      </c>
      <c r="E43" s="29">
        <f>Builders!$D43&amp;""</f>
        <v/>
      </c>
      <c r="F43" s="29">
        <f>Builders!$E43&amp;""</f>
        <v/>
      </c>
      <c r="G43" s="32">
        <f>IF(LEFT(Builders!$C43,4)="http",HYPERLINK(Builders!$C43,"Open folder"),Builders!$C43&amp;"")</f>
        <v/>
      </c>
    </row>
    <row r="44">
      <c r="A44" s="29">
        <f>Builders!$A44&amp;""</f>
        <v/>
      </c>
      <c r="B44" s="29">
        <f>Builders!$B44&amp;""</f>
        <v/>
      </c>
      <c r="C44" s="31">
        <f>IF($A44="","",COUNTIF(Contacts!$A$2:$A$301,$A44))</f>
        <v/>
      </c>
      <c r="D44" s="31">
        <f>IF($A44="","",IF(COUNTIFS(Contacts!$A$2:$A$301,$A44,Contacts!$H$2:$H$301,"Yes")=0,"",COUNTIFS(Contacts!$A$2:$A$301,$A44,Contacts!$H$2:$H$301,"Yes")))</f>
        <v/>
      </c>
      <c r="E44" s="29">
        <f>Builders!$D44&amp;""</f>
        <v/>
      </c>
      <c r="F44" s="29">
        <f>Builders!$E44&amp;""</f>
        <v/>
      </c>
      <c r="G44" s="32">
        <f>IF(LEFT(Builders!$C44,4)="http",HYPERLINK(Builders!$C44,"Open folder"),Builders!$C44&amp;"")</f>
        <v/>
      </c>
    </row>
    <row r="45">
      <c r="A45" s="29">
        <f>Builders!$A45&amp;""</f>
        <v/>
      </c>
      <c r="B45" s="29">
        <f>Builders!$B45&amp;""</f>
        <v/>
      </c>
      <c r="C45" s="31">
        <f>IF($A45="","",COUNTIF(Contacts!$A$2:$A$301,$A45))</f>
        <v/>
      </c>
      <c r="D45" s="31">
        <f>IF($A45="","",IF(COUNTIFS(Contacts!$A$2:$A$301,$A45,Contacts!$H$2:$H$301,"Yes")=0,"",COUNTIFS(Contacts!$A$2:$A$301,$A45,Contacts!$H$2:$H$301,"Yes")))</f>
        <v/>
      </c>
      <c r="E45" s="29">
        <f>Builders!$D45&amp;""</f>
        <v/>
      </c>
      <c r="F45" s="29">
        <f>Builders!$E45&amp;""</f>
        <v/>
      </c>
      <c r="G45" s="32">
        <f>IF(LEFT(Builders!$C45,4)="http",HYPERLINK(Builders!$C45,"Open folder"),Builders!$C45&amp;"")</f>
        <v/>
      </c>
    </row>
    <row r="46">
      <c r="A46" s="29">
        <f>Builders!$A46&amp;""</f>
        <v/>
      </c>
      <c r="B46" s="29">
        <f>Builders!$B46&amp;""</f>
        <v/>
      </c>
      <c r="C46" s="31">
        <f>IF($A46="","",COUNTIF(Contacts!$A$2:$A$301,$A46))</f>
        <v/>
      </c>
      <c r="D46" s="31">
        <f>IF($A46="","",IF(COUNTIFS(Contacts!$A$2:$A$301,$A46,Contacts!$H$2:$H$301,"Yes")=0,"",COUNTIFS(Contacts!$A$2:$A$301,$A46,Contacts!$H$2:$H$301,"Yes")))</f>
        <v/>
      </c>
      <c r="E46" s="29">
        <f>Builders!$D46&amp;""</f>
        <v/>
      </c>
      <c r="F46" s="29">
        <f>Builders!$E46&amp;""</f>
        <v/>
      </c>
      <c r="G46" s="32">
        <f>IF(LEFT(Builders!$C46,4)="http",HYPERLINK(Builders!$C46,"Open folder"),Builders!$C46&amp;"")</f>
        <v/>
      </c>
    </row>
    <row r="47">
      <c r="A47" s="29">
        <f>Builders!$A47&amp;""</f>
        <v/>
      </c>
      <c r="B47" s="29">
        <f>Builders!$B47&amp;""</f>
        <v/>
      </c>
      <c r="C47" s="31">
        <f>IF($A47="","",COUNTIF(Contacts!$A$2:$A$301,$A47))</f>
        <v/>
      </c>
      <c r="D47" s="31">
        <f>IF($A47="","",IF(COUNTIFS(Contacts!$A$2:$A$301,$A47,Contacts!$H$2:$H$301,"Yes")=0,"",COUNTIFS(Contacts!$A$2:$A$301,$A47,Contacts!$H$2:$H$301,"Yes")))</f>
        <v/>
      </c>
      <c r="E47" s="29">
        <f>Builders!$D47&amp;""</f>
        <v/>
      </c>
      <c r="F47" s="29">
        <f>Builders!$E47&amp;""</f>
        <v/>
      </c>
      <c r="G47" s="32">
        <f>IF(LEFT(Builders!$C47,4)="http",HYPERLINK(Builders!$C47,"Open folder"),Builders!$C47&amp;"")</f>
        <v/>
      </c>
    </row>
    <row r="48">
      <c r="A48" s="29">
        <f>Builders!$A48&amp;""</f>
        <v/>
      </c>
      <c r="B48" s="29">
        <f>Builders!$B48&amp;""</f>
        <v/>
      </c>
      <c r="C48" s="31">
        <f>IF($A48="","",COUNTIF(Contacts!$A$2:$A$301,$A48))</f>
        <v/>
      </c>
      <c r="D48" s="31">
        <f>IF($A48="","",IF(COUNTIFS(Contacts!$A$2:$A$301,$A48,Contacts!$H$2:$H$301,"Yes")=0,"",COUNTIFS(Contacts!$A$2:$A$301,$A48,Contacts!$H$2:$H$301,"Yes")))</f>
        <v/>
      </c>
      <c r="E48" s="29">
        <f>Builders!$D48&amp;""</f>
        <v/>
      </c>
      <c r="F48" s="29">
        <f>Builders!$E48&amp;""</f>
        <v/>
      </c>
      <c r="G48" s="32">
        <f>IF(LEFT(Builders!$C48,4)="http",HYPERLINK(Builders!$C48,"Open folder"),Builders!$C48&amp;"")</f>
        <v/>
      </c>
    </row>
    <row r="49">
      <c r="A49" s="29">
        <f>Builders!$A49&amp;""</f>
        <v/>
      </c>
      <c r="B49" s="29">
        <f>Builders!$B49&amp;""</f>
        <v/>
      </c>
      <c r="C49" s="31">
        <f>IF($A49="","",COUNTIF(Contacts!$A$2:$A$301,$A49))</f>
        <v/>
      </c>
      <c r="D49" s="31">
        <f>IF($A49="","",IF(COUNTIFS(Contacts!$A$2:$A$301,$A49,Contacts!$H$2:$H$301,"Yes")=0,"",COUNTIFS(Contacts!$A$2:$A$301,$A49,Contacts!$H$2:$H$301,"Yes")))</f>
        <v/>
      </c>
      <c r="E49" s="29">
        <f>Builders!$D49&amp;""</f>
        <v/>
      </c>
      <c r="F49" s="29">
        <f>Builders!$E49&amp;""</f>
        <v/>
      </c>
      <c r="G49" s="32">
        <f>IF(LEFT(Builders!$C49,4)="http",HYPERLINK(Builders!$C49,"Open folder"),Builders!$C49&amp;"")</f>
        <v/>
      </c>
    </row>
    <row r="50">
      <c r="A50" s="29">
        <f>Builders!$A50&amp;""</f>
        <v/>
      </c>
      <c r="B50" s="29">
        <f>Builders!$B50&amp;""</f>
        <v/>
      </c>
      <c r="C50" s="31">
        <f>IF($A50="","",COUNTIF(Contacts!$A$2:$A$301,$A50))</f>
        <v/>
      </c>
      <c r="D50" s="31">
        <f>IF($A50="","",IF(COUNTIFS(Contacts!$A$2:$A$301,$A50,Contacts!$H$2:$H$301,"Yes")=0,"",COUNTIFS(Contacts!$A$2:$A$301,$A50,Contacts!$H$2:$H$301,"Yes")))</f>
        <v/>
      </c>
      <c r="E50" s="29">
        <f>Builders!$D50&amp;""</f>
        <v/>
      </c>
      <c r="F50" s="29">
        <f>Builders!$E50&amp;""</f>
        <v/>
      </c>
      <c r="G50" s="32">
        <f>IF(LEFT(Builders!$C50,4)="http",HYPERLINK(Builders!$C50,"Open folder"),Builders!$C50&amp;"")</f>
        <v/>
      </c>
    </row>
    <row r="51">
      <c r="A51" s="29">
        <f>Builders!$A51&amp;""</f>
        <v/>
      </c>
      <c r="B51" s="29">
        <f>Builders!$B51&amp;""</f>
        <v/>
      </c>
      <c r="C51" s="31">
        <f>IF($A51="","",COUNTIF(Contacts!$A$2:$A$301,$A51))</f>
        <v/>
      </c>
      <c r="D51" s="31">
        <f>IF($A51="","",IF(COUNTIFS(Contacts!$A$2:$A$301,$A51,Contacts!$H$2:$H$301,"Yes")=0,"",COUNTIFS(Contacts!$A$2:$A$301,$A51,Contacts!$H$2:$H$301,"Yes")))</f>
        <v/>
      </c>
      <c r="E51" s="29">
        <f>Builders!$D51&amp;""</f>
        <v/>
      </c>
      <c r="F51" s="29">
        <f>Builders!$E51&amp;""</f>
        <v/>
      </c>
      <c r="G51" s="32">
        <f>IF(LEFT(Builders!$C51,4)="http",HYPERLINK(Builders!$C51,"Open folder"),Builders!$C51&amp;"")</f>
        <v/>
      </c>
    </row>
    <row r="52">
      <c r="A52" s="29">
        <f>Builders!$A52&amp;""</f>
        <v/>
      </c>
      <c r="B52" s="29">
        <f>Builders!$B52&amp;""</f>
        <v/>
      </c>
      <c r="C52" s="31">
        <f>IF($A52="","",COUNTIF(Contacts!$A$2:$A$301,$A52))</f>
        <v/>
      </c>
      <c r="D52" s="31">
        <f>IF($A52="","",IF(COUNTIFS(Contacts!$A$2:$A$301,$A52,Contacts!$H$2:$H$301,"Yes")=0,"",COUNTIFS(Contacts!$A$2:$A$301,$A52,Contacts!$H$2:$H$301,"Yes")))</f>
        <v/>
      </c>
      <c r="E52" s="29">
        <f>Builders!$D52&amp;""</f>
        <v/>
      </c>
      <c r="F52" s="29">
        <f>Builders!$E52&amp;""</f>
        <v/>
      </c>
      <c r="G52" s="32">
        <f>IF(LEFT(Builders!$C52,4)="http",HYPERLINK(Builders!$C52,"Open folder"),Builders!$C52&amp;"")</f>
        <v/>
      </c>
    </row>
    <row r="53">
      <c r="A53" s="29">
        <f>Builders!$A53&amp;""</f>
        <v/>
      </c>
      <c r="B53" s="29">
        <f>Builders!$B53&amp;""</f>
        <v/>
      </c>
      <c r="C53" s="31">
        <f>IF($A53="","",COUNTIF(Contacts!$A$2:$A$301,$A53))</f>
        <v/>
      </c>
      <c r="D53" s="31">
        <f>IF($A53="","",IF(COUNTIFS(Contacts!$A$2:$A$301,$A53,Contacts!$H$2:$H$301,"Yes")=0,"",COUNTIFS(Contacts!$A$2:$A$301,$A53,Contacts!$H$2:$H$301,"Yes")))</f>
        <v/>
      </c>
      <c r="E53" s="29">
        <f>Builders!$D53&amp;""</f>
        <v/>
      </c>
      <c r="F53" s="29">
        <f>Builders!$E53&amp;""</f>
        <v/>
      </c>
      <c r="G53" s="32">
        <f>IF(LEFT(Builders!$C53,4)="http",HYPERLINK(Builders!$C53,"Open folder"),Builders!$C53&amp;"")</f>
        <v/>
      </c>
    </row>
    <row r="54">
      <c r="A54" s="29">
        <f>Builders!$A54&amp;""</f>
        <v/>
      </c>
      <c r="B54" s="29">
        <f>Builders!$B54&amp;""</f>
        <v/>
      </c>
      <c r="C54" s="31">
        <f>IF($A54="","",COUNTIF(Contacts!$A$2:$A$301,$A54))</f>
        <v/>
      </c>
      <c r="D54" s="31">
        <f>IF($A54="","",IF(COUNTIFS(Contacts!$A$2:$A$301,$A54,Contacts!$H$2:$H$301,"Yes")=0,"",COUNTIFS(Contacts!$A$2:$A$301,$A54,Contacts!$H$2:$H$301,"Yes")))</f>
        <v/>
      </c>
      <c r="E54" s="29">
        <f>Builders!$D54&amp;""</f>
        <v/>
      </c>
      <c r="F54" s="29">
        <f>Builders!$E54&amp;""</f>
        <v/>
      </c>
      <c r="G54" s="32">
        <f>IF(LEFT(Builders!$C54,4)="http",HYPERLINK(Builders!$C54,"Open folder"),Builders!$C54&amp;"")</f>
        <v/>
      </c>
    </row>
    <row r="55">
      <c r="A55" s="29">
        <f>Builders!$A55&amp;""</f>
        <v/>
      </c>
      <c r="B55" s="29">
        <f>Builders!$B55&amp;""</f>
        <v/>
      </c>
      <c r="C55" s="31">
        <f>IF($A55="","",COUNTIF(Contacts!$A$2:$A$301,$A55))</f>
        <v/>
      </c>
      <c r="D55" s="31">
        <f>IF($A55="","",IF(COUNTIFS(Contacts!$A$2:$A$301,$A55,Contacts!$H$2:$H$301,"Yes")=0,"",COUNTIFS(Contacts!$A$2:$A$301,$A55,Contacts!$H$2:$H$301,"Yes")))</f>
        <v/>
      </c>
      <c r="E55" s="29">
        <f>Builders!$D55&amp;""</f>
        <v/>
      </c>
      <c r="F55" s="29">
        <f>Builders!$E55&amp;""</f>
        <v/>
      </c>
      <c r="G55" s="32">
        <f>IF(LEFT(Builders!$C55,4)="http",HYPERLINK(Builders!$C55,"Open folder"),Builders!$C55&amp;"")</f>
        <v/>
      </c>
    </row>
    <row r="56">
      <c r="A56" s="29">
        <f>Builders!$A56&amp;""</f>
        <v/>
      </c>
      <c r="B56" s="29">
        <f>Builders!$B56&amp;""</f>
        <v/>
      </c>
      <c r="C56" s="31">
        <f>IF($A56="","",COUNTIF(Contacts!$A$2:$A$301,$A56))</f>
        <v/>
      </c>
      <c r="D56" s="31">
        <f>IF($A56="","",IF(COUNTIFS(Contacts!$A$2:$A$301,$A56,Contacts!$H$2:$H$301,"Yes")=0,"",COUNTIFS(Contacts!$A$2:$A$301,$A56,Contacts!$H$2:$H$301,"Yes")))</f>
        <v/>
      </c>
      <c r="E56" s="29">
        <f>Builders!$D56&amp;""</f>
        <v/>
      </c>
      <c r="F56" s="29">
        <f>Builders!$E56&amp;""</f>
        <v/>
      </c>
      <c r="G56" s="32">
        <f>IF(LEFT(Builders!$C56,4)="http",HYPERLINK(Builders!$C56,"Open folder"),Builders!$C56&amp;"")</f>
        <v/>
      </c>
    </row>
    <row r="57">
      <c r="A57" s="29">
        <f>Builders!$A57&amp;""</f>
        <v/>
      </c>
      <c r="B57" s="29">
        <f>Builders!$B57&amp;""</f>
        <v/>
      </c>
      <c r="C57" s="31">
        <f>IF($A57="","",COUNTIF(Contacts!$A$2:$A$301,$A57))</f>
        <v/>
      </c>
      <c r="D57" s="31">
        <f>IF($A57="","",IF(COUNTIFS(Contacts!$A$2:$A$301,$A57,Contacts!$H$2:$H$301,"Yes")=0,"",COUNTIFS(Contacts!$A$2:$A$301,$A57,Contacts!$H$2:$H$301,"Yes")))</f>
        <v/>
      </c>
      <c r="E57" s="29">
        <f>Builders!$D57&amp;""</f>
        <v/>
      </c>
      <c r="F57" s="29">
        <f>Builders!$E57&amp;""</f>
        <v/>
      </c>
      <c r="G57" s="32">
        <f>IF(LEFT(Builders!$C57,4)="http",HYPERLINK(Builders!$C57,"Open folder"),Builders!$C57&amp;"")</f>
        <v/>
      </c>
    </row>
    <row r="58">
      <c r="A58" s="29">
        <f>Builders!$A58&amp;""</f>
        <v/>
      </c>
      <c r="B58" s="29">
        <f>Builders!$B58&amp;""</f>
        <v/>
      </c>
      <c r="C58" s="31">
        <f>IF($A58="","",COUNTIF(Contacts!$A$2:$A$301,$A58))</f>
        <v/>
      </c>
      <c r="D58" s="31">
        <f>IF($A58="","",IF(COUNTIFS(Contacts!$A$2:$A$301,$A58,Contacts!$H$2:$H$301,"Yes")=0,"",COUNTIFS(Contacts!$A$2:$A$301,$A58,Contacts!$H$2:$H$301,"Yes")))</f>
        <v/>
      </c>
      <c r="E58" s="29">
        <f>Builders!$D58&amp;""</f>
        <v/>
      </c>
      <c r="F58" s="29">
        <f>Builders!$E58&amp;""</f>
        <v/>
      </c>
      <c r="G58" s="32">
        <f>IF(LEFT(Builders!$C58,4)="http",HYPERLINK(Builders!$C58,"Open folder"),Builders!$C58&amp;"")</f>
        <v/>
      </c>
    </row>
    <row r="59">
      <c r="A59" s="29">
        <f>Builders!$A59&amp;""</f>
        <v/>
      </c>
      <c r="B59" s="29">
        <f>Builders!$B59&amp;""</f>
        <v/>
      </c>
      <c r="C59" s="31">
        <f>IF($A59="","",COUNTIF(Contacts!$A$2:$A$301,$A59))</f>
        <v/>
      </c>
      <c r="D59" s="31">
        <f>IF($A59="","",IF(COUNTIFS(Contacts!$A$2:$A$301,$A59,Contacts!$H$2:$H$301,"Yes")=0,"",COUNTIFS(Contacts!$A$2:$A$301,$A59,Contacts!$H$2:$H$301,"Yes")))</f>
        <v/>
      </c>
      <c r="E59" s="29">
        <f>Builders!$D59&amp;""</f>
        <v/>
      </c>
      <c r="F59" s="29">
        <f>Builders!$E59&amp;""</f>
        <v/>
      </c>
      <c r="G59" s="32">
        <f>IF(LEFT(Builders!$C59,4)="http",HYPERLINK(Builders!$C59,"Open folder"),Builders!$C59&amp;"")</f>
        <v/>
      </c>
    </row>
    <row r="60">
      <c r="A60" s="29">
        <f>Builders!$A60&amp;""</f>
        <v/>
      </c>
      <c r="B60" s="29">
        <f>Builders!$B60&amp;""</f>
        <v/>
      </c>
      <c r="C60" s="31">
        <f>IF($A60="","",COUNTIF(Contacts!$A$2:$A$301,$A60))</f>
        <v/>
      </c>
      <c r="D60" s="31">
        <f>IF($A60="","",IF(COUNTIFS(Contacts!$A$2:$A$301,$A60,Contacts!$H$2:$H$301,"Yes")=0,"",COUNTIFS(Contacts!$A$2:$A$301,$A60,Contacts!$H$2:$H$301,"Yes")))</f>
        <v/>
      </c>
      <c r="E60" s="29">
        <f>Builders!$D60&amp;""</f>
        <v/>
      </c>
      <c r="F60" s="29">
        <f>Builders!$E60&amp;""</f>
        <v/>
      </c>
      <c r="G60" s="32">
        <f>IF(LEFT(Builders!$C60,4)="http",HYPERLINK(Builders!$C60,"Open folder"),Builders!$C60&amp;"")</f>
        <v/>
      </c>
    </row>
    <row r="61">
      <c r="A61" s="29">
        <f>Builders!$A61&amp;""</f>
        <v/>
      </c>
      <c r="B61" s="29">
        <f>Builders!$B61&amp;""</f>
        <v/>
      </c>
      <c r="C61" s="31">
        <f>IF($A61="","",COUNTIF(Contacts!$A$2:$A$301,$A61))</f>
        <v/>
      </c>
      <c r="D61" s="31">
        <f>IF($A61="","",IF(COUNTIFS(Contacts!$A$2:$A$301,$A61,Contacts!$H$2:$H$301,"Yes")=0,"",COUNTIFS(Contacts!$A$2:$A$301,$A61,Contacts!$H$2:$H$301,"Yes")))</f>
        <v/>
      </c>
      <c r="E61" s="29">
        <f>Builders!$D61&amp;""</f>
        <v/>
      </c>
      <c r="F61" s="29">
        <f>Builders!$E61&amp;""</f>
        <v/>
      </c>
      <c r="G61" s="32">
        <f>IF(LEFT(Builders!$C61,4)="http",HYPERLINK(Builders!$C61,"Open folder"),Builders!$C61&amp;"")</f>
        <v/>
      </c>
    </row>
    <row r="62">
      <c r="A62" s="29">
        <f>Builders!$A62&amp;""</f>
        <v/>
      </c>
      <c r="B62" s="29">
        <f>Builders!$B62&amp;""</f>
        <v/>
      </c>
      <c r="C62" s="31">
        <f>IF($A62="","",COUNTIF(Contacts!$A$2:$A$301,$A62))</f>
        <v/>
      </c>
      <c r="D62" s="31">
        <f>IF($A62="","",IF(COUNTIFS(Contacts!$A$2:$A$301,$A62,Contacts!$H$2:$H$301,"Yes")=0,"",COUNTIFS(Contacts!$A$2:$A$301,$A62,Contacts!$H$2:$H$301,"Yes")))</f>
        <v/>
      </c>
      <c r="E62" s="29">
        <f>Builders!$D62&amp;""</f>
        <v/>
      </c>
      <c r="F62" s="29">
        <f>Builders!$E62&amp;""</f>
        <v/>
      </c>
      <c r="G62" s="32">
        <f>IF(LEFT(Builders!$C62,4)="http",HYPERLINK(Builders!$C62,"Open folder"),Builders!$C62&amp;"")</f>
        <v/>
      </c>
    </row>
    <row r="63">
      <c r="A63" s="29">
        <f>Builders!$A63&amp;""</f>
        <v/>
      </c>
      <c r="B63" s="29">
        <f>Builders!$B63&amp;""</f>
        <v/>
      </c>
      <c r="C63" s="31">
        <f>IF($A63="","",COUNTIF(Contacts!$A$2:$A$301,$A63))</f>
        <v/>
      </c>
      <c r="D63" s="31">
        <f>IF($A63="","",IF(COUNTIFS(Contacts!$A$2:$A$301,$A63,Contacts!$H$2:$H$301,"Yes")=0,"",COUNTIFS(Contacts!$A$2:$A$301,$A63,Contacts!$H$2:$H$301,"Yes")))</f>
        <v/>
      </c>
      <c r="E63" s="29">
        <f>Builders!$D63&amp;""</f>
        <v/>
      </c>
      <c r="F63" s="29">
        <f>Builders!$E63&amp;""</f>
        <v/>
      </c>
      <c r="G63" s="32">
        <f>IF(LEFT(Builders!$C63,4)="http",HYPERLINK(Builders!$C63,"Open folder"),Builders!$C63&amp;"")</f>
        <v/>
      </c>
    </row>
    <row r="64">
      <c r="A64" s="29">
        <f>Builders!$A64&amp;""</f>
        <v/>
      </c>
      <c r="B64" s="29">
        <f>Builders!$B64&amp;""</f>
        <v/>
      </c>
      <c r="C64" s="31">
        <f>IF($A64="","",COUNTIF(Contacts!$A$2:$A$301,$A64))</f>
        <v/>
      </c>
      <c r="D64" s="31">
        <f>IF($A64="","",IF(COUNTIFS(Contacts!$A$2:$A$301,$A64,Contacts!$H$2:$H$301,"Yes")=0,"",COUNTIFS(Contacts!$A$2:$A$301,$A64,Contacts!$H$2:$H$301,"Yes")))</f>
        <v/>
      </c>
      <c r="E64" s="29">
        <f>Builders!$D64&amp;""</f>
        <v/>
      </c>
      <c r="F64" s="29">
        <f>Builders!$E64&amp;""</f>
        <v/>
      </c>
      <c r="G64" s="32">
        <f>IF(LEFT(Builders!$C64,4)="http",HYPERLINK(Builders!$C64,"Open folder"),Builders!$C64&amp;"")</f>
        <v/>
      </c>
    </row>
    <row r="65">
      <c r="A65" s="29">
        <f>Builders!$A65&amp;""</f>
        <v/>
      </c>
      <c r="B65" s="29">
        <f>Builders!$B65&amp;""</f>
        <v/>
      </c>
      <c r="C65" s="31">
        <f>IF($A65="","",COUNTIF(Contacts!$A$2:$A$301,$A65))</f>
        <v/>
      </c>
      <c r="D65" s="31">
        <f>IF($A65="","",IF(COUNTIFS(Contacts!$A$2:$A$301,$A65,Contacts!$H$2:$H$301,"Yes")=0,"",COUNTIFS(Contacts!$A$2:$A$301,$A65,Contacts!$H$2:$H$301,"Yes")))</f>
        <v/>
      </c>
      <c r="E65" s="29">
        <f>Builders!$D65&amp;""</f>
        <v/>
      </c>
      <c r="F65" s="29">
        <f>Builders!$E65&amp;""</f>
        <v/>
      </c>
      <c r="G65" s="32">
        <f>IF(LEFT(Builders!$C65,4)="http",HYPERLINK(Builders!$C65,"Open folder"),Builders!$C65&amp;"")</f>
        <v/>
      </c>
    </row>
    <row r="66">
      <c r="A66" s="29">
        <f>Builders!$A66&amp;""</f>
        <v/>
      </c>
      <c r="B66" s="29">
        <f>Builders!$B66&amp;""</f>
        <v/>
      </c>
      <c r="C66" s="31">
        <f>IF($A66="","",COUNTIF(Contacts!$A$2:$A$301,$A66))</f>
        <v/>
      </c>
      <c r="D66" s="31">
        <f>IF($A66="","",IF(COUNTIFS(Contacts!$A$2:$A$301,$A66,Contacts!$H$2:$H$301,"Yes")=0,"",COUNTIFS(Contacts!$A$2:$A$301,$A66,Contacts!$H$2:$H$301,"Yes")))</f>
        <v/>
      </c>
      <c r="E66" s="29">
        <f>Builders!$D66&amp;""</f>
        <v/>
      </c>
      <c r="F66" s="29">
        <f>Builders!$E66&amp;""</f>
        <v/>
      </c>
      <c r="G66" s="32">
        <f>IF(LEFT(Builders!$C66,4)="http",HYPERLINK(Builders!$C66,"Open folder"),Builders!$C66&amp;"")</f>
        <v/>
      </c>
    </row>
    <row r="67">
      <c r="A67" s="29">
        <f>Builders!$A67&amp;""</f>
        <v/>
      </c>
      <c r="B67" s="29">
        <f>Builders!$B67&amp;""</f>
        <v/>
      </c>
      <c r="C67" s="31">
        <f>IF($A67="","",COUNTIF(Contacts!$A$2:$A$301,$A67))</f>
        <v/>
      </c>
      <c r="D67" s="31">
        <f>IF($A67="","",IF(COUNTIFS(Contacts!$A$2:$A$301,$A67,Contacts!$H$2:$H$301,"Yes")=0,"",COUNTIFS(Contacts!$A$2:$A$301,$A67,Contacts!$H$2:$H$301,"Yes")))</f>
        <v/>
      </c>
      <c r="E67" s="29">
        <f>Builders!$D67&amp;""</f>
        <v/>
      </c>
      <c r="F67" s="29">
        <f>Builders!$E67&amp;""</f>
        <v/>
      </c>
      <c r="G67" s="32">
        <f>IF(LEFT(Builders!$C67,4)="http",HYPERLINK(Builders!$C67,"Open folder"),Builders!$C67&amp;"")</f>
        <v/>
      </c>
    </row>
    <row r="68">
      <c r="A68" s="29">
        <f>Builders!$A68&amp;""</f>
        <v/>
      </c>
      <c r="B68" s="29">
        <f>Builders!$B68&amp;""</f>
        <v/>
      </c>
      <c r="C68" s="31">
        <f>IF($A68="","",COUNTIF(Contacts!$A$2:$A$301,$A68))</f>
        <v/>
      </c>
      <c r="D68" s="31">
        <f>IF($A68="","",IF(COUNTIFS(Contacts!$A$2:$A$301,$A68,Contacts!$H$2:$H$301,"Yes")=0,"",COUNTIFS(Contacts!$A$2:$A$301,$A68,Contacts!$H$2:$H$301,"Yes")))</f>
        <v/>
      </c>
      <c r="E68" s="29">
        <f>Builders!$D68&amp;""</f>
        <v/>
      </c>
      <c r="F68" s="29">
        <f>Builders!$E68&amp;""</f>
        <v/>
      </c>
      <c r="G68" s="32">
        <f>IF(LEFT(Builders!$C68,4)="http",HYPERLINK(Builders!$C68,"Open folder"),Builders!$C68&amp;"")</f>
        <v/>
      </c>
    </row>
    <row r="69">
      <c r="A69" s="29">
        <f>Builders!$A69&amp;""</f>
        <v/>
      </c>
      <c r="B69" s="29">
        <f>Builders!$B69&amp;""</f>
        <v/>
      </c>
      <c r="C69" s="31">
        <f>IF($A69="","",COUNTIF(Contacts!$A$2:$A$301,$A69))</f>
        <v/>
      </c>
      <c r="D69" s="31">
        <f>IF($A69="","",IF(COUNTIFS(Contacts!$A$2:$A$301,$A69,Contacts!$H$2:$H$301,"Yes")=0,"",COUNTIFS(Contacts!$A$2:$A$301,$A69,Contacts!$H$2:$H$301,"Yes")))</f>
        <v/>
      </c>
      <c r="E69" s="29">
        <f>Builders!$D69&amp;""</f>
        <v/>
      </c>
      <c r="F69" s="29">
        <f>Builders!$E69&amp;""</f>
        <v/>
      </c>
      <c r="G69" s="32">
        <f>IF(LEFT(Builders!$C69,4)="http",HYPERLINK(Builders!$C69,"Open folder"),Builders!$C69&amp;"")</f>
        <v/>
      </c>
    </row>
    <row r="70">
      <c r="A70" s="29">
        <f>Builders!$A70&amp;""</f>
        <v/>
      </c>
      <c r="B70" s="29">
        <f>Builders!$B70&amp;""</f>
        <v/>
      </c>
      <c r="C70" s="31">
        <f>IF($A70="","",COUNTIF(Contacts!$A$2:$A$301,$A70))</f>
        <v/>
      </c>
      <c r="D70" s="31">
        <f>IF($A70="","",IF(COUNTIFS(Contacts!$A$2:$A$301,$A70,Contacts!$H$2:$H$301,"Yes")=0,"",COUNTIFS(Contacts!$A$2:$A$301,$A70,Contacts!$H$2:$H$301,"Yes")))</f>
        <v/>
      </c>
      <c r="E70" s="29">
        <f>Builders!$D70&amp;""</f>
        <v/>
      </c>
      <c r="F70" s="29">
        <f>Builders!$E70&amp;""</f>
        <v/>
      </c>
      <c r="G70" s="32">
        <f>IF(LEFT(Builders!$C70,4)="http",HYPERLINK(Builders!$C70,"Open folder"),Builders!$C70&amp;"")</f>
        <v/>
      </c>
    </row>
    <row r="71">
      <c r="A71" s="29">
        <f>Builders!$A71&amp;""</f>
        <v/>
      </c>
      <c r="B71" s="29">
        <f>Builders!$B71&amp;""</f>
        <v/>
      </c>
      <c r="C71" s="31">
        <f>IF($A71="","",COUNTIF(Contacts!$A$2:$A$301,$A71))</f>
        <v/>
      </c>
      <c r="D71" s="31">
        <f>IF($A71="","",IF(COUNTIFS(Contacts!$A$2:$A$301,$A71,Contacts!$H$2:$H$301,"Yes")=0,"",COUNTIFS(Contacts!$A$2:$A$301,$A71,Contacts!$H$2:$H$301,"Yes")))</f>
        <v/>
      </c>
      <c r="E71" s="29">
        <f>Builders!$D71&amp;""</f>
        <v/>
      </c>
      <c r="F71" s="29">
        <f>Builders!$E71&amp;""</f>
        <v/>
      </c>
      <c r="G71" s="32">
        <f>IF(LEFT(Builders!$C71,4)="http",HYPERLINK(Builders!$C71,"Open folder"),Builders!$C71&amp;"")</f>
        <v/>
      </c>
    </row>
    <row r="72">
      <c r="A72" s="29">
        <f>Builders!$A72&amp;""</f>
        <v/>
      </c>
      <c r="B72" s="29">
        <f>Builders!$B72&amp;""</f>
        <v/>
      </c>
      <c r="C72" s="31">
        <f>IF($A72="","",COUNTIF(Contacts!$A$2:$A$301,$A72))</f>
        <v/>
      </c>
      <c r="D72" s="31">
        <f>IF($A72="","",IF(COUNTIFS(Contacts!$A$2:$A$301,$A72,Contacts!$H$2:$H$301,"Yes")=0,"",COUNTIFS(Contacts!$A$2:$A$301,$A72,Contacts!$H$2:$H$301,"Yes")))</f>
        <v/>
      </c>
      <c r="E72" s="29">
        <f>Builders!$D72&amp;""</f>
        <v/>
      </c>
      <c r="F72" s="29">
        <f>Builders!$E72&amp;""</f>
        <v/>
      </c>
      <c r="G72" s="32">
        <f>IF(LEFT(Builders!$C72,4)="http",HYPERLINK(Builders!$C72,"Open folder"),Builders!$C72&amp;"")</f>
        <v/>
      </c>
    </row>
    <row r="73">
      <c r="A73" s="29">
        <f>Builders!$A73&amp;""</f>
        <v/>
      </c>
      <c r="B73" s="29">
        <f>Builders!$B73&amp;""</f>
        <v/>
      </c>
      <c r="C73" s="31">
        <f>IF($A73="","",COUNTIF(Contacts!$A$2:$A$301,$A73))</f>
        <v/>
      </c>
      <c r="D73" s="31">
        <f>IF($A73="","",IF(COUNTIFS(Contacts!$A$2:$A$301,$A73,Contacts!$H$2:$H$301,"Yes")=0,"",COUNTIFS(Contacts!$A$2:$A$301,$A73,Contacts!$H$2:$H$301,"Yes")))</f>
        <v/>
      </c>
      <c r="E73" s="29">
        <f>Builders!$D73&amp;""</f>
        <v/>
      </c>
      <c r="F73" s="29">
        <f>Builders!$E73&amp;""</f>
        <v/>
      </c>
      <c r="G73" s="32">
        <f>IF(LEFT(Builders!$C73,4)="http",HYPERLINK(Builders!$C73,"Open folder"),Builders!$C73&amp;"")</f>
        <v/>
      </c>
    </row>
    <row r="74">
      <c r="A74" s="29">
        <f>Builders!$A74&amp;""</f>
        <v/>
      </c>
      <c r="B74" s="29">
        <f>Builders!$B74&amp;""</f>
        <v/>
      </c>
      <c r="C74" s="31">
        <f>IF($A74="","",COUNTIF(Contacts!$A$2:$A$301,$A74))</f>
        <v/>
      </c>
      <c r="D74" s="31">
        <f>IF($A74="","",IF(COUNTIFS(Contacts!$A$2:$A$301,$A74,Contacts!$H$2:$H$301,"Yes")=0,"",COUNTIFS(Contacts!$A$2:$A$301,$A74,Contacts!$H$2:$H$301,"Yes")))</f>
        <v/>
      </c>
      <c r="E74" s="29">
        <f>Builders!$D74&amp;""</f>
        <v/>
      </c>
      <c r="F74" s="29">
        <f>Builders!$E74&amp;""</f>
        <v/>
      </c>
      <c r="G74" s="32">
        <f>IF(LEFT(Builders!$C74,4)="http",HYPERLINK(Builders!$C74,"Open folder"),Builders!$C74&amp;"")</f>
        <v/>
      </c>
    </row>
    <row r="75">
      <c r="A75" s="29">
        <f>Builders!$A75&amp;""</f>
        <v/>
      </c>
      <c r="B75" s="29">
        <f>Builders!$B75&amp;""</f>
        <v/>
      </c>
      <c r="C75" s="31">
        <f>IF($A75="","",COUNTIF(Contacts!$A$2:$A$301,$A75))</f>
        <v/>
      </c>
      <c r="D75" s="31">
        <f>IF($A75="","",IF(COUNTIFS(Contacts!$A$2:$A$301,$A75,Contacts!$H$2:$H$301,"Yes")=0,"",COUNTIFS(Contacts!$A$2:$A$301,$A75,Contacts!$H$2:$H$301,"Yes")))</f>
        <v/>
      </c>
      <c r="E75" s="29">
        <f>Builders!$D75&amp;""</f>
        <v/>
      </c>
      <c r="F75" s="29">
        <f>Builders!$E75&amp;""</f>
        <v/>
      </c>
      <c r="G75" s="32">
        <f>IF(LEFT(Builders!$C75,4)="http",HYPERLINK(Builders!$C75,"Open folder"),Builders!$C75&amp;"")</f>
        <v/>
      </c>
    </row>
    <row r="76">
      <c r="A76" s="29">
        <f>Builders!$A76&amp;""</f>
        <v/>
      </c>
      <c r="B76" s="29">
        <f>Builders!$B76&amp;""</f>
        <v/>
      </c>
      <c r="C76" s="31">
        <f>IF($A76="","",COUNTIF(Contacts!$A$2:$A$301,$A76))</f>
        <v/>
      </c>
      <c r="D76" s="31">
        <f>IF($A76="","",IF(COUNTIFS(Contacts!$A$2:$A$301,$A76,Contacts!$H$2:$H$301,"Yes")=0,"",COUNTIFS(Contacts!$A$2:$A$301,$A76,Contacts!$H$2:$H$301,"Yes")))</f>
        <v/>
      </c>
      <c r="E76" s="29">
        <f>Builders!$D76&amp;""</f>
        <v/>
      </c>
      <c r="F76" s="29">
        <f>Builders!$E76&amp;""</f>
        <v/>
      </c>
      <c r="G76" s="32">
        <f>IF(LEFT(Builders!$C76,4)="http",HYPERLINK(Builders!$C76,"Open folder"),Builders!$C76&amp;"")</f>
        <v/>
      </c>
    </row>
    <row r="77">
      <c r="A77" s="29">
        <f>Builders!$A77&amp;""</f>
        <v/>
      </c>
      <c r="B77" s="29">
        <f>Builders!$B77&amp;""</f>
        <v/>
      </c>
      <c r="C77" s="31">
        <f>IF($A77="","",COUNTIF(Contacts!$A$2:$A$301,$A77))</f>
        <v/>
      </c>
      <c r="D77" s="31">
        <f>IF($A77="","",IF(COUNTIFS(Contacts!$A$2:$A$301,$A77,Contacts!$H$2:$H$301,"Yes")=0,"",COUNTIFS(Contacts!$A$2:$A$301,$A77,Contacts!$H$2:$H$301,"Yes")))</f>
        <v/>
      </c>
      <c r="E77" s="29">
        <f>Builders!$D77&amp;""</f>
        <v/>
      </c>
      <c r="F77" s="29">
        <f>Builders!$E77&amp;""</f>
        <v/>
      </c>
      <c r="G77" s="32">
        <f>IF(LEFT(Builders!$C77,4)="http",HYPERLINK(Builders!$C77,"Open folder"),Builders!$C77&amp;"")</f>
        <v/>
      </c>
    </row>
    <row r="78">
      <c r="A78" s="29">
        <f>Builders!$A78&amp;""</f>
        <v/>
      </c>
      <c r="B78" s="29">
        <f>Builders!$B78&amp;""</f>
        <v/>
      </c>
      <c r="C78" s="31">
        <f>IF($A78="","",COUNTIF(Contacts!$A$2:$A$301,$A78))</f>
        <v/>
      </c>
      <c r="D78" s="31">
        <f>IF($A78="","",IF(COUNTIFS(Contacts!$A$2:$A$301,$A78,Contacts!$H$2:$H$301,"Yes")=0,"",COUNTIFS(Contacts!$A$2:$A$301,$A78,Contacts!$H$2:$H$301,"Yes")))</f>
        <v/>
      </c>
      <c r="E78" s="29">
        <f>Builders!$D78&amp;""</f>
        <v/>
      </c>
      <c r="F78" s="29">
        <f>Builders!$E78&amp;""</f>
        <v/>
      </c>
      <c r="G78" s="32">
        <f>IF(LEFT(Builders!$C78,4)="http",HYPERLINK(Builders!$C78,"Open folder"),Builders!$C78&amp;"")</f>
        <v/>
      </c>
    </row>
    <row r="79">
      <c r="A79" s="29">
        <f>Builders!$A79&amp;""</f>
        <v/>
      </c>
      <c r="B79" s="29">
        <f>Builders!$B79&amp;""</f>
        <v/>
      </c>
      <c r="C79" s="31">
        <f>IF($A79="","",COUNTIF(Contacts!$A$2:$A$301,$A79))</f>
        <v/>
      </c>
      <c r="D79" s="31">
        <f>IF($A79="","",IF(COUNTIFS(Contacts!$A$2:$A$301,$A79,Contacts!$H$2:$H$301,"Yes")=0,"",COUNTIFS(Contacts!$A$2:$A$301,$A79,Contacts!$H$2:$H$301,"Yes")))</f>
        <v/>
      </c>
      <c r="E79" s="29">
        <f>Builders!$D79&amp;""</f>
        <v/>
      </c>
      <c r="F79" s="29">
        <f>Builders!$E79&amp;""</f>
        <v/>
      </c>
      <c r="G79" s="32">
        <f>IF(LEFT(Builders!$C79,4)="http",HYPERLINK(Builders!$C79,"Open folder"),Builders!$C79&amp;"")</f>
        <v/>
      </c>
    </row>
    <row r="80">
      <c r="A80" s="29">
        <f>Builders!$A80&amp;""</f>
        <v/>
      </c>
      <c r="B80" s="29">
        <f>Builders!$B80&amp;""</f>
        <v/>
      </c>
      <c r="C80" s="31">
        <f>IF($A80="","",COUNTIF(Contacts!$A$2:$A$301,$A80))</f>
        <v/>
      </c>
      <c r="D80" s="31">
        <f>IF($A80="","",IF(COUNTIFS(Contacts!$A$2:$A$301,$A80,Contacts!$H$2:$H$301,"Yes")=0,"",COUNTIFS(Contacts!$A$2:$A$301,$A80,Contacts!$H$2:$H$301,"Yes")))</f>
        <v/>
      </c>
      <c r="E80" s="29">
        <f>Builders!$D80&amp;""</f>
        <v/>
      </c>
      <c r="F80" s="29">
        <f>Builders!$E80&amp;""</f>
        <v/>
      </c>
      <c r="G80" s="32">
        <f>IF(LEFT(Builders!$C80,4)="http",HYPERLINK(Builders!$C80,"Open folder"),Builders!$C80&amp;"")</f>
        <v/>
      </c>
    </row>
    <row r="81">
      <c r="A81" s="29">
        <f>Builders!$A81&amp;""</f>
        <v/>
      </c>
      <c r="B81" s="29">
        <f>Builders!$B81&amp;""</f>
        <v/>
      </c>
      <c r="C81" s="31">
        <f>IF($A81="","",COUNTIF(Contacts!$A$2:$A$301,$A81))</f>
        <v/>
      </c>
      <c r="D81" s="31">
        <f>IF($A81="","",IF(COUNTIFS(Contacts!$A$2:$A$301,$A81,Contacts!$H$2:$H$301,"Yes")=0,"",COUNTIFS(Contacts!$A$2:$A$301,$A81,Contacts!$H$2:$H$301,"Yes")))</f>
        <v/>
      </c>
      <c r="E81" s="29">
        <f>Builders!$D81&amp;""</f>
        <v/>
      </c>
      <c r="F81" s="29">
        <f>Builders!$E81&amp;""</f>
        <v/>
      </c>
      <c r="G81" s="32">
        <f>IF(LEFT(Builders!$C81,4)="http",HYPERLINK(Builders!$C81,"Open folder"),Builders!$C81&amp;"")</f>
        <v/>
      </c>
    </row>
    <row r="82">
      <c r="A82" s="29">
        <f>Builders!$A82&amp;""</f>
        <v/>
      </c>
      <c r="B82" s="29">
        <f>Builders!$B82&amp;""</f>
        <v/>
      </c>
      <c r="C82" s="31">
        <f>IF($A82="","",COUNTIF(Contacts!$A$2:$A$301,$A82))</f>
        <v/>
      </c>
      <c r="D82" s="31">
        <f>IF($A82="","",IF(COUNTIFS(Contacts!$A$2:$A$301,$A82,Contacts!$H$2:$H$301,"Yes")=0,"",COUNTIFS(Contacts!$A$2:$A$301,$A82,Contacts!$H$2:$H$301,"Yes")))</f>
        <v/>
      </c>
      <c r="E82" s="29">
        <f>Builders!$D82&amp;""</f>
        <v/>
      </c>
      <c r="F82" s="29">
        <f>Builders!$E82&amp;""</f>
        <v/>
      </c>
      <c r="G82" s="32">
        <f>IF(LEFT(Builders!$C82,4)="http",HYPERLINK(Builders!$C82,"Open folder"),Builders!$C82&amp;"")</f>
        <v/>
      </c>
    </row>
    <row r="83">
      <c r="A83" s="29">
        <f>Builders!$A83&amp;""</f>
        <v/>
      </c>
      <c r="B83" s="29">
        <f>Builders!$B83&amp;""</f>
        <v/>
      </c>
      <c r="C83" s="31">
        <f>IF($A83="","",COUNTIF(Contacts!$A$2:$A$301,$A83))</f>
        <v/>
      </c>
      <c r="D83" s="31">
        <f>IF($A83="","",IF(COUNTIFS(Contacts!$A$2:$A$301,$A83,Contacts!$H$2:$H$301,"Yes")=0,"",COUNTIFS(Contacts!$A$2:$A$301,$A83,Contacts!$H$2:$H$301,"Yes")))</f>
        <v/>
      </c>
      <c r="E83" s="29">
        <f>Builders!$D83&amp;""</f>
        <v/>
      </c>
      <c r="F83" s="29">
        <f>Builders!$E83&amp;""</f>
        <v/>
      </c>
      <c r="G83" s="32">
        <f>IF(LEFT(Builders!$C83,4)="http",HYPERLINK(Builders!$C83,"Open folder"),Builders!$C83&amp;"")</f>
        <v/>
      </c>
    </row>
    <row r="84">
      <c r="A84" s="29">
        <f>Builders!$A84&amp;""</f>
        <v/>
      </c>
      <c r="B84" s="29">
        <f>Builders!$B84&amp;""</f>
        <v/>
      </c>
      <c r="C84" s="31">
        <f>IF($A84="","",COUNTIF(Contacts!$A$2:$A$301,$A84))</f>
        <v/>
      </c>
      <c r="D84" s="31">
        <f>IF($A84="","",IF(COUNTIFS(Contacts!$A$2:$A$301,$A84,Contacts!$H$2:$H$301,"Yes")=0,"",COUNTIFS(Contacts!$A$2:$A$301,$A84,Contacts!$H$2:$H$301,"Yes")))</f>
        <v/>
      </c>
      <c r="E84" s="29">
        <f>Builders!$D84&amp;""</f>
        <v/>
      </c>
      <c r="F84" s="29">
        <f>Builders!$E84&amp;""</f>
        <v/>
      </c>
      <c r="G84" s="32">
        <f>IF(LEFT(Builders!$C84,4)="http",HYPERLINK(Builders!$C84,"Open folder"),Builders!$C84&amp;"")</f>
        <v/>
      </c>
    </row>
    <row r="85">
      <c r="A85" s="29">
        <f>Builders!$A85&amp;""</f>
        <v/>
      </c>
      <c r="B85" s="29">
        <f>Builders!$B85&amp;""</f>
        <v/>
      </c>
      <c r="C85" s="31">
        <f>IF($A85="","",COUNTIF(Contacts!$A$2:$A$301,$A85))</f>
        <v/>
      </c>
      <c r="D85" s="31">
        <f>IF($A85="","",IF(COUNTIFS(Contacts!$A$2:$A$301,$A85,Contacts!$H$2:$H$301,"Yes")=0,"",COUNTIFS(Contacts!$A$2:$A$301,$A85,Contacts!$H$2:$H$301,"Yes")))</f>
        <v/>
      </c>
      <c r="E85" s="29">
        <f>Builders!$D85&amp;""</f>
        <v/>
      </c>
      <c r="F85" s="29">
        <f>Builders!$E85&amp;""</f>
        <v/>
      </c>
      <c r="G85" s="32">
        <f>IF(LEFT(Builders!$C85,4)="http",HYPERLINK(Builders!$C85,"Open folder"),Builders!$C85&amp;"")</f>
        <v/>
      </c>
    </row>
    <row r="86">
      <c r="A86" s="29">
        <f>Builders!$A86&amp;""</f>
        <v/>
      </c>
      <c r="B86" s="29">
        <f>Builders!$B86&amp;""</f>
        <v/>
      </c>
      <c r="C86" s="31">
        <f>IF($A86="","",COUNTIF(Contacts!$A$2:$A$301,$A86))</f>
        <v/>
      </c>
      <c r="D86" s="31">
        <f>IF($A86="","",IF(COUNTIFS(Contacts!$A$2:$A$301,$A86,Contacts!$H$2:$H$301,"Yes")=0,"",COUNTIFS(Contacts!$A$2:$A$301,$A86,Contacts!$H$2:$H$301,"Yes")))</f>
        <v/>
      </c>
      <c r="E86" s="29">
        <f>Builders!$D86&amp;""</f>
        <v/>
      </c>
      <c r="F86" s="29">
        <f>Builders!$E86&amp;""</f>
        <v/>
      </c>
      <c r="G86" s="32">
        <f>IF(LEFT(Builders!$C86,4)="http",HYPERLINK(Builders!$C86,"Open folder"),Builders!$C86&amp;"")</f>
        <v/>
      </c>
    </row>
    <row r="87">
      <c r="A87" s="29">
        <f>Builders!$A87&amp;""</f>
        <v/>
      </c>
      <c r="B87" s="29">
        <f>Builders!$B87&amp;""</f>
        <v/>
      </c>
      <c r="C87" s="31">
        <f>IF($A87="","",COUNTIF(Contacts!$A$2:$A$301,$A87))</f>
        <v/>
      </c>
      <c r="D87" s="31">
        <f>IF($A87="","",IF(COUNTIFS(Contacts!$A$2:$A$301,$A87,Contacts!$H$2:$H$301,"Yes")=0,"",COUNTIFS(Contacts!$A$2:$A$301,$A87,Contacts!$H$2:$H$301,"Yes")))</f>
        <v/>
      </c>
      <c r="E87" s="29">
        <f>Builders!$D87&amp;""</f>
        <v/>
      </c>
      <c r="F87" s="29">
        <f>Builders!$E87&amp;""</f>
        <v/>
      </c>
      <c r="G87" s="32">
        <f>IF(LEFT(Builders!$C87,4)="http",HYPERLINK(Builders!$C87,"Open folder"),Builders!$C87&amp;"")</f>
        <v/>
      </c>
    </row>
    <row r="88">
      <c r="A88" s="29">
        <f>Builders!$A88&amp;""</f>
        <v/>
      </c>
      <c r="B88" s="29">
        <f>Builders!$B88&amp;""</f>
        <v/>
      </c>
      <c r="C88" s="31">
        <f>IF($A88="","",COUNTIF(Contacts!$A$2:$A$301,$A88))</f>
        <v/>
      </c>
      <c r="D88" s="31">
        <f>IF($A88="","",IF(COUNTIFS(Contacts!$A$2:$A$301,$A88,Contacts!$H$2:$H$301,"Yes")=0,"",COUNTIFS(Contacts!$A$2:$A$301,$A88,Contacts!$H$2:$H$301,"Yes")))</f>
        <v/>
      </c>
      <c r="E88" s="29">
        <f>Builders!$D88&amp;""</f>
        <v/>
      </c>
      <c r="F88" s="29">
        <f>Builders!$E88&amp;""</f>
        <v/>
      </c>
      <c r="G88" s="32">
        <f>IF(LEFT(Builders!$C88,4)="http",HYPERLINK(Builders!$C88,"Open folder"),Builders!$C88&amp;"")</f>
        <v/>
      </c>
    </row>
    <row r="89">
      <c r="A89" s="29">
        <f>Builders!$A89&amp;""</f>
        <v/>
      </c>
      <c r="B89" s="29">
        <f>Builders!$B89&amp;""</f>
        <v/>
      </c>
      <c r="C89" s="31">
        <f>IF($A89="","",COUNTIF(Contacts!$A$2:$A$301,$A89))</f>
        <v/>
      </c>
      <c r="D89" s="31">
        <f>IF($A89="","",IF(COUNTIFS(Contacts!$A$2:$A$301,$A89,Contacts!$H$2:$H$301,"Yes")=0,"",COUNTIFS(Contacts!$A$2:$A$301,$A89,Contacts!$H$2:$H$301,"Yes")))</f>
        <v/>
      </c>
      <c r="E89" s="29">
        <f>Builders!$D89&amp;""</f>
        <v/>
      </c>
      <c r="F89" s="29">
        <f>Builders!$E89&amp;""</f>
        <v/>
      </c>
      <c r="G89" s="32">
        <f>IF(LEFT(Builders!$C89,4)="http",HYPERLINK(Builders!$C89,"Open folder"),Builders!$C89&amp;"")</f>
        <v/>
      </c>
    </row>
    <row r="90">
      <c r="A90" s="29">
        <f>Builders!$A90&amp;""</f>
        <v/>
      </c>
      <c r="B90" s="29">
        <f>Builders!$B90&amp;""</f>
        <v/>
      </c>
      <c r="C90" s="31">
        <f>IF($A90="","",COUNTIF(Contacts!$A$2:$A$301,$A90))</f>
        <v/>
      </c>
      <c r="D90" s="31">
        <f>IF($A90="","",IF(COUNTIFS(Contacts!$A$2:$A$301,$A90,Contacts!$H$2:$H$301,"Yes")=0,"",COUNTIFS(Contacts!$A$2:$A$301,$A90,Contacts!$H$2:$H$301,"Yes")))</f>
        <v/>
      </c>
      <c r="E90" s="29">
        <f>Builders!$D90&amp;""</f>
        <v/>
      </c>
      <c r="F90" s="29">
        <f>Builders!$E90&amp;""</f>
        <v/>
      </c>
      <c r="G90" s="32">
        <f>IF(LEFT(Builders!$C90,4)="http",HYPERLINK(Builders!$C90,"Open folder"),Builders!$C90&amp;"")</f>
        <v/>
      </c>
    </row>
    <row r="91">
      <c r="A91" s="29">
        <f>Builders!$A91&amp;""</f>
        <v/>
      </c>
      <c r="B91" s="29">
        <f>Builders!$B91&amp;""</f>
        <v/>
      </c>
      <c r="C91" s="31">
        <f>IF($A91="","",COUNTIF(Contacts!$A$2:$A$301,$A91))</f>
        <v/>
      </c>
      <c r="D91" s="31">
        <f>IF($A91="","",IF(COUNTIFS(Contacts!$A$2:$A$301,$A91,Contacts!$H$2:$H$301,"Yes")=0,"",COUNTIFS(Contacts!$A$2:$A$301,$A91,Contacts!$H$2:$H$301,"Yes")))</f>
        <v/>
      </c>
      <c r="E91" s="29">
        <f>Builders!$D91&amp;""</f>
        <v/>
      </c>
      <c r="F91" s="29">
        <f>Builders!$E91&amp;""</f>
        <v/>
      </c>
      <c r="G91" s="32">
        <f>IF(LEFT(Builders!$C91,4)="http",HYPERLINK(Builders!$C91,"Open folder"),Builders!$C91&amp;"")</f>
        <v/>
      </c>
    </row>
    <row r="92">
      <c r="A92" s="29">
        <f>Builders!$A92&amp;""</f>
        <v/>
      </c>
      <c r="B92" s="29">
        <f>Builders!$B92&amp;""</f>
        <v/>
      </c>
      <c r="C92" s="31">
        <f>IF($A92="","",COUNTIF(Contacts!$A$2:$A$301,$A92))</f>
        <v/>
      </c>
      <c r="D92" s="31">
        <f>IF($A92="","",IF(COUNTIFS(Contacts!$A$2:$A$301,$A92,Contacts!$H$2:$H$301,"Yes")=0,"",COUNTIFS(Contacts!$A$2:$A$301,$A92,Contacts!$H$2:$H$301,"Yes")))</f>
        <v/>
      </c>
      <c r="E92" s="29">
        <f>Builders!$D92&amp;""</f>
        <v/>
      </c>
      <c r="F92" s="29">
        <f>Builders!$E92&amp;""</f>
        <v/>
      </c>
      <c r="G92" s="32">
        <f>IF(LEFT(Builders!$C92,4)="http",HYPERLINK(Builders!$C92,"Open folder"),Builders!$C92&amp;"")</f>
        <v/>
      </c>
    </row>
    <row r="93">
      <c r="A93" s="29">
        <f>Builders!$A93&amp;""</f>
        <v/>
      </c>
      <c r="B93" s="29">
        <f>Builders!$B93&amp;""</f>
        <v/>
      </c>
      <c r="C93" s="31">
        <f>IF($A93="","",COUNTIF(Contacts!$A$2:$A$301,$A93))</f>
        <v/>
      </c>
      <c r="D93" s="31">
        <f>IF($A93="","",IF(COUNTIFS(Contacts!$A$2:$A$301,$A93,Contacts!$H$2:$H$301,"Yes")=0,"",COUNTIFS(Contacts!$A$2:$A$301,$A93,Contacts!$H$2:$H$301,"Yes")))</f>
        <v/>
      </c>
      <c r="E93" s="29">
        <f>Builders!$D93&amp;""</f>
        <v/>
      </c>
      <c r="F93" s="29">
        <f>Builders!$E93&amp;""</f>
        <v/>
      </c>
      <c r="G93" s="32">
        <f>IF(LEFT(Builders!$C93,4)="http",HYPERLINK(Builders!$C93,"Open folder"),Builders!$C93&amp;"")</f>
        <v/>
      </c>
    </row>
    <row r="94">
      <c r="A94" s="29">
        <f>Builders!$A94&amp;""</f>
        <v/>
      </c>
      <c r="B94" s="29">
        <f>Builders!$B94&amp;""</f>
        <v/>
      </c>
      <c r="C94" s="31">
        <f>IF($A94="","",COUNTIF(Contacts!$A$2:$A$301,$A94))</f>
        <v/>
      </c>
      <c r="D94" s="31">
        <f>IF($A94="","",IF(COUNTIFS(Contacts!$A$2:$A$301,$A94,Contacts!$H$2:$H$301,"Yes")=0,"",COUNTIFS(Contacts!$A$2:$A$301,$A94,Contacts!$H$2:$H$301,"Yes")))</f>
        <v/>
      </c>
      <c r="E94" s="29">
        <f>Builders!$D94&amp;""</f>
        <v/>
      </c>
      <c r="F94" s="29">
        <f>Builders!$E94&amp;""</f>
        <v/>
      </c>
      <c r="G94" s="32">
        <f>IF(LEFT(Builders!$C94,4)="http",HYPERLINK(Builders!$C94,"Open folder"),Builders!$C94&amp;"")</f>
        <v/>
      </c>
    </row>
    <row r="95">
      <c r="A95" s="29">
        <f>Builders!$A95&amp;""</f>
        <v/>
      </c>
      <c r="B95" s="29">
        <f>Builders!$B95&amp;""</f>
        <v/>
      </c>
      <c r="C95" s="31">
        <f>IF($A95="","",COUNTIF(Contacts!$A$2:$A$301,$A95))</f>
        <v/>
      </c>
      <c r="D95" s="31">
        <f>IF($A95="","",IF(COUNTIFS(Contacts!$A$2:$A$301,$A95,Contacts!$H$2:$H$301,"Yes")=0,"",COUNTIFS(Contacts!$A$2:$A$301,$A95,Contacts!$H$2:$H$301,"Yes")))</f>
        <v/>
      </c>
      <c r="E95" s="29">
        <f>Builders!$D95&amp;""</f>
        <v/>
      </c>
      <c r="F95" s="29">
        <f>Builders!$E95&amp;""</f>
        <v/>
      </c>
      <c r="G95" s="32">
        <f>IF(LEFT(Builders!$C95,4)="http",HYPERLINK(Builders!$C95,"Open folder"),Builders!$C95&amp;"")</f>
        <v/>
      </c>
    </row>
    <row r="96">
      <c r="A96" s="29">
        <f>Builders!$A96&amp;""</f>
        <v/>
      </c>
      <c r="B96" s="29">
        <f>Builders!$B96&amp;""</f>
        <v/>
      </c>
      <c r="C96" s="31">
        <f>IF($A96="","",COUNTIF(Contacts!$A$2:$A$301,$A96))</f>
        <v/>
      </c>
      <c r="D96" s="31">
        <f>IF($A96="","",IF(COUNTIFS(Contacts!$A$2:$A$301,$A96,Contacts!$H$2:$H$301,"Yes")=0,"",COUNTIFS(Contacts!$A$2:$A$301,$A96,Contacts!$H$2:$H$301,"Yes")))</f>
        <v/>
      </c>
      <c r="E96" s="29">
        <f>Builders!$D96&amp;""</f>
        <v/>
      </c>
      <c r="F96" s="29">
        <f>Builders!$E96&amp;""</f>
        <v/>
      </c>
      <c r="G96" s="32">
        <f>IF(LEFT(Builders!$C96,4)="http",HYPERLINK(Builders!$C96,"Open folder"),Builders!$C96&amp;"")</f>
        <v/>
      </c>
    </row>
    <row r="97">
      <c r="A97" s="29">
        <f>Builders!$A97&amp;""</f>
        <v/>
      </c>
      <c r="B97" s="29">
        <f>Builders!$B97&amp;""</f>
        <v/>
      </c>
      <c r="C97" s="31">
        <f>IF($A97="","",COUNTIF(Contacts!$A$2:$A$301,$A97))</f>
        <v/>
      </c>
      <c r="D97" s="31">
        <f>IF($A97="","",IF(COUNTIFS(Contacts!$A$2:$A$301,$A97,Contacts!$H$2:$H$301,"Yes")=0,"",COUNTIFS(Contacts!$A$2:$A$301,$A97,Contacts!$H$2:$H$301,"Yes")))</f>
        <v/>
      </c>
      <c r="E97" s="29">
        <f>Builders!$D97&amp;""</f>
        <v/>
      </c>
      <c r="F97" s="29">
        <f>Builders!$E97&amp;""</f>
        <v/>
      </c>
      <c r="G97" s="32">
        <f>IF(LEFT(Builders!$C97,4)="http",HYPERLINK(Builders!$C97,"Open folder"),Builders!$C97&amp;"")</f>
        <v/>
      </c>
    </row>
    <row r="98">
      <c r="A98" s="29">
        <f>Builders!$A98&amp;""</f>
        <v/>
      </c>
      <c r="B98" s="29">
        <f>Builders!$B98&amp;""</f>
        <v/>
      </c>
      <c r="C98" s="31">
        <f>IF($A98="","",COUNTIF(Contacts!$A$2:$A$301,$A98))</f>
        <v/>
      </c>
      <c r="D98" s="31">
        <f>IF($A98="","",IF(COUNTIFS(Contacts!$A$2:$A$301,$A98,Contacts!$H$2:$H$301,"Yes")=0,"",COUNTIFS(Contacts!$A$2:$A$301,$A98,Contacts!$H$2:$H$301,"Yes")))</f>
        <v/>
      </c>
      <c r="E98" s="29">
        <f>Builders!$D98&amp;""</f>
        <v/>
      </c>
      <c r="F98" s="29">
        <f>Builders!$E98&amp;""</f>
        <v/>
      </c>
      <c r="G98" s="32">
        <f>IF(LEFT(Builders!$C98,4)="http",HYPERLINK(Builders!$C98,"Open folder"),Builders!$C98&amp;"")</f>
        <v/>
      </c>
    </row>
    <row r="99">
      <c r="A99" s="29">
        <f>Builders!$A99&amp;""</f>
        <v/>
      </c>
      <c r="B99" s="29">
        <f>Builders!$B99&amp;""</f>
        <v/>
      </c>
      <c r="C99" s="31">
        <f>IF($A99="","",COUNTIF(Contacts!$A$2:$A$301,$A99))</f>
        <v/>
      </c>
      <c r="D99" s="31">
        <f>IF($A99="","",IF(COUNTIFS(Contacts!$A$2:$A$301,$A99,Contacts!$H$2:$H$301,"Yes")=0,"",COUNTIFS(Contacts!$A$2:$A$301,$A99,Contacts!$H$2:$H$301,"Yes")))</f>
        <v/>
      </c>
      <c r="E99" s="29">
        <f>Builders!$D99&amp;""</f>
        <v/>
      </c>
      <c r="F99" s="29">
        <f>Builders!$E99&amp;""</f>
        <v/>
      </c>
      <c r="G99" s="32">
        <f>IF(LEFT(Builders!$C99,4)="http",HYPERLINK(Builders!$C99,"Open folder"),Builders!$C99&amp;"")</f>
        <v/>
      </c>
    </row>
    <row r="100">
      <c r="A100" s="29">
        <f>Builders!$A100&amp;""</f>
        <v/>
      </c>
      <c r="B100" s="29">
        <f>Builders!$B100&amp;""</f>
        <v/>
      </c>
      <c r="C100" s="31">
        <f>IF($A100="","",COUNTIF(Contacts!$A$2:$A$301,$A100))</f>
        <v/>
      </c>
      <c r="D100" s="31">
        <f>IF($A100="","",IF(COUNTIFS(Contacts!$A$2:$A$301,$A100,Contacts!$H$2:$H$301,"Yes")=0,"",COUNTIFS(Contacts!$A$2:$A$301,$A100,Contacts!$H$2:$H$301,"Yes")))</f>
        <v/>
      </c>
      <c r="E100" s="29">
        <f>Builders!$D100&amp;""</f>
        <v/>
      </c>
      <c r="F100" s="29">
        <f>Builders!$E100&amp;""</f>
        <v/>
      </c>
      <c r="G100" s="32">
        <f>IF(LEFT(Builders!$C100,4)="http",HYPERLINK(Builders!$C100,"Open folder"),Builders!$C100&amp;"")</f>
        <v/>
      </c>
    </row>
    <row r="101">
      <c r="A101" s="29">
        <f>Builders!$A101&amp;""</f>
        <v/>
      </c>
      <c r="B101" s="29">
        <f>Builders!$B101&amp;""</f>
        <v/>
      </c>
      <c r="C101" s="31">
        <f>IF($A101="","",COUNTIF(Contacts!$A$2:$A$301,$A101))</f>
        <v/>
      </c>
      <c r="D101" s="31">
        <f>IF($A101="","",IF(COUNTIFS(Contacts!$A$2:$A$301,$A101,Contacts!$H$2:$H$301,"Yes")=0,"",COUNTIFS(Contacts!$A$2:$A$301,$A101,Contacts!$H$2:$H$301,"Yes")))</f>
        <v/>
      </c>
      <c r="E101" s="29">
        <f>Builders!$D101&amp;""</f>
        <v/>
      </c>
      <c r="F101" s="29">
        <f>Builders!$E101&amp;""</f>
        <v/>
      </c>
      <c r="G101" s="32">
        <f>IF(LEFT(Builders!$C101,4)="http",HYPERLINK(Builders!$C101,"Open folder"),Builders!$C101&amp;"")</f>
        <v/>
      </c>
    </row>
    <row r="102">
      <c r="A102" s="29">
        <f>Builders!$A102&amp;""</f>
        <v/>
      </c>
      <c r="B102" s="29">
        <f>Builders!$B102&amp;""</f>
        <v/>
      </c>
      <c r="C102" s="31">
        <f>IF($A102="","",COUNTIF(Contacts!$A$2:$A$301,$A102))</f>
        <v/>
      </c>
      <c r="D102" s="31">
        <f>IF($A102="","",IF(COUNTIFS(Contacts!$A$2:$A$301,$A102,Contacts!$H$2:$H$301,"Yes")=0,"",COUNTIFS(Contacts!$A$2:$A$301,$A102,Contacts!$H$2:$H$301,"Yes")))</f>
        <v/>
      </c>
      <c r="E102" s="29">
        <f>Builders!$D102&amp;""</f>
        <v/>
      </c>
      <c r="F102" s="29">
        <f>Builders!$E102&amp;""</f>
        <v/>
      </c>
      <c r="G102" s="32">
        <f>IF(LEFT(Builders!$C102,4)="http",HYPERLINK(Builders!$C102,"Open folder"),Builders!$C102&amp;"")</f>
        <v/>
      </c>
    </row>
    <row r="103">
      <c r="A103" s="29">
        <f>Builders!$A103&amp;""</f>
        <v/>
      </c>
      <c r="B103" s="29">
        <f>Builders!$B103&amp;""</f>
        <v/>
      </c>
      <c r="C103" s="31">
        <f>IF($A103="","",COUNTIF(Contacts!$A$2:$A$301,$A103))</f>
        <v/>
      </c>
      <c r="D103" s="31">
        <f>IF($A103="","",IF(COUNTIFS(Contacts!$A$2:$A$301,$A103,Contacts!$H$2:$H$301,"Yes")=0,"",COUNTIFS(Contacts!$A$2:$A$301,$A103,Contacts!$H$2:$H$301,"Yes")))</f>
        <v/>
      </c>
      <c r="E103" s="29">
        <f>Builders!$D103&amp;""</f>
        <v/>
      </c>
      <c r="F103" s="29">
        <f>Builders!$E103&amp;""</f>
        <v/>
      </c>
      <c r="G103" s="32">
        <f>IF(LEFT(Builders!$C103,4)="http",HYPERLINK(Builders!$C103,"Open folder"),Builders!$C103&amp;"")</f>
        <v/>
      </c>
    </row>
    <row r="104">
      <c r="A104" s="29">
        <f>Builders!$A104&amp;""</f>
        <v/>
      </c>
      <c r="B104" s="29">
        <f>Builders!$B104&amp;""</f>
        <v/>
      </c>
      <c r="C104" s="31">
        <f>IF($A104="","",COUNTIF(Contacts!$A$2:$A$301,$A104))</f>
        <v/>
      </c>
      <c r="D104" s="31">
        <f>IF($A104="","",IF(COUNTIFS(Contacts!$A$2:$A$301,$A104,Contacts!$H$2:$H$301,"Yes")=0,"",COUNTIFS(Contacts!$A$2:$A$301,$A104,Contacts!$H$2:$H$301,"Yes")))</f>
        <v/>
      </c>
      <c r="E104" s="29">
        <f>Builders!$D104&amp;""</f>
        <v/>
      </c>
      <c r="F104" s="29">
        <f>Builders!$E104&amp;""</f>
        <v/>
      </c>
      <c r="G104" s="32">
        <f>IF(LEFT(Builders!$C104,4)="http",HYPERLINK(Builders!$C104,"Open folder"),Builders!$C104&amp;"")</f>
        <v/>
      </c>
    </row>
    <row r="105">
      <c r="A105" s="29">
        <f>Builders!$A105&amp;""</f>
        <v/>
      </c>
      <c r="B105" s="29">
        <f>Builders!$B105&amp;""</f>
        <v/>
      </c>
      <c r="C105" s="31">
        <f>IF($A105="","",COUNTIF(Contacts!$A$2:$A$301,$A105))</f>
        <v/>
      </c>
      <c r="D105" s="31">
        <f>IF($A105="","",IF(COUNTIFS(Contacts!$A$2:$A$301,$A105,Contacts!$H$2:$H$301,"Yes")=0,"",COUNTIFS(Contacts!$A$2:$A$301,$A105,Contacts!$H$2:$H$301,"Yes")))</f>
        <v/>
      </c>
      <c r="E105" s="29">
        <f>Builders!$D105&amp;""</f>
        <v/>
      </c>
      <c r="F105" s="29">
        <f>Builders!$E105&amp;""</f>
        <v/>
      </c>
      <c r="G105" s="32">
        <f>IF(LEFT(Builders!$C105,4)="http",HYPERLINK(Builders!$C105,"Open folder"),Builders!$C105&amp;"")</f>
        <v/>
      </c>
    </row>
    <row r="106">
      <c r="A106" s="29">
        <f>Builders!$A106&amp;""</f>
        <v/>
      </c>
      <c r="B106" s="29">
        <f>Builders!$B106&amp;""</f>
        <v/>
      </c>
      <c r="C106" s="31">
        <f>IF($A106="","",COUNTIF(Contacts!$A$2:$A$301,$A106))</f>
        <v/>
      </c>
      <c r="D106" s="31">
        <f>IF($A106="","",IF(COUNTIFS(Contacts!$A$2:$A$301,$A106,Contacts!$H$2:$H$301,"Yes")=0,"",COUNTIFS(Contacts!$A$2:$A$301,$A106,Contacts!$H$2:$H$301,"Yes")))</f>
        <v/>
      </c>
      <c r="E106" s="29">
        <f>Builders!$D106&amp;""</f>
        <v/>
      </c>
      <c r="F106" s="29">
        <f>Builders!$E106&amp;""</f>
        <v/>
      </c>
      <c r="G106" s="32">
        <f>IF(LEFT(Builders!$C106,4)="http",HYPERLINK(Builders!$C106,"Open folder"),Builders!$C106&amp;"")</f>
        <v/>
      </c>
    </row>
    <row r="107">
      <c r="A107" s="29">
        <f>Builders!$A107&amp;""</f>
        <v/>
      </c>
      <c r="B107" s="29">
        <f>Builders!$B107&amp;""</f>
        <v/>
      </c>
      <c r="C107" s="31">
        <f>IF($A107="","",COUNTIF(Contacts!$A$2:$A$301,$A107))</f>
        <v/>
      </c>
      <c r="D107" s="31">
        <f>IF($A107="","",IF(COUNTIFS(Contacts!$A$2:$A$301,$A107,Contacts!$H$2:$H$301,"Yes")=0,"",COUNTIFS(Contacts!$A$2:$A$301,$A107,Contacts!$H$2:$H$301,"Yes")))</f>
        <v/>
      </c>
      <c r="E107" s="29">
        <f>Builders!$D107&amp;""</f>
        <v/>
      </c>
      <c r="F107" s="29">
        <f>Builders!$E107&amp;""</f>
        <v/>
      </c>
      <c r="G107" s="32">
        <f>IF(LEFT(Builders!$C107,4)="http",HYPERLINK(Builders!$C107,"Open folder"),Builders!$C107&amp;"")</f>
        <v/>
      </c>
    </row>
    <row r="108">
      <c r="A108" s="29">
        <f>Builders!$A108&amp;""</f>
        <v/>
      </c>
      <c r="B108" s="29">
        <f>Builders!$B108&amp;""</f>
        <v/>
      </c>
      <c r="C108" s="31">
        <f>IF($A108="","",COUNTIF(Contacts!$A$2:$A$301,$A108))</f>
        <v/>
      </c>
      <c r="D108" s="31">
        <f>IF($A108="","",IF(COUNTIFS(Contacts!$A$2:$A$301,$A108,Contacts!$H$2:$H$301,"Yes")=0,"",COUNTIFS(Contacts!$A$2:$A$301,$A108,Contacts!$H$2:$H$301,"Yes")))</f>
        <v/>
      </c>
      <c r="E108" s="29">
        <f>Builders!$D108&amp;""</f>
        <v/>
      </c>
      <c r="F108" s="29">
        <f>Builders!$E108&amp;""</f>
        <v/>
      </c>
      <c r="G108" s="32">
        <f>IF(LEFT(Builders!$C108,4)="http",HYPERLINK(Builders!$C108,"Open folder"),Builders!$C108&amp;"")</f>
        <v/>
      </c>
    </row>
    <row r="109">
      <c r="A109" s="29">
        <f>Builders!$A109&amp;""</f>
        <v/>
      </c>
      <c r="B109" s="29">
        <f>Builders!$B109&amp;""</f>
        <v/>
      </c>
      <c r="C109" s="31">
        <f>IF($A109="","",COUNTIF(Contacts!$A$2:$A$301,$A109))</f>
        <v/>
      </c>
      <c r="D109" s="31">
        <f>IF($A109="","",IF(COUNTIFS(Contacts!$A$2:$A$301,$A109,Contacts!$H$2:$H$301,"Yes")=0,"",COUNTIFS(Contacts!$A$2:$A$301,$A109,Contacts!$H$2:$H$301,"Yes")))</f>
        <v/>
      </c>
      <c r="E109" s="29">
        <f>Builders!$D109&amp;""</f>
        <v/>
      </c>
      <c r="F109" s="29">
        <f>Builders!$E109&amp;""</f>
        <v/>
      </c>
      <c r="G109" s="32">
        <f>IF(LEFT(Builders!$C109,4)="http",HYPERLINK(Builders!$C109,"Open folder"),Builders!$C109&amp;"")</f>
        <v/>
      </c>
    </row>
    <row r="110">
      <c r="A110" s="29">
        <f>Builders!$A110&amp;""</f>
        <v/>
      </c>
      <c r="B110" s="29">
        <f>Builders!$B110&amp;""</f>
        <v/>
      </c>
      <c r="C110" s="31">
        <f>IF($A110="","",COUNTIF(Contacts!$A$2:$A$301,$A110))</f>
        <v/>
      </c>
      <c r="D110" s="31">
        <f>IF($A110="","",IF(COUNTIFS(Contacts!$A$2:$A$301,$A110,Contacts!$H$2:$H$301,"Yes")=0,"",COUNTIFS(Contacts!$A$2:$A$301,$A110,Contacts!$H$2:$H$301,"Yes")))</f>
        <v/>
      </c>
      <c r="E110" s="29">
        <f>Builders!$D110&amp;""</f>
        <v/>
      </c>
      <c r="F110" s="29">
        <f>Builders!$E110&amp;""</f>
        <v/>
      </c>
      <c r="G110" s="32">
        <f>IF(LEFT(Builders!$C110,4)="http",HYPERLINK(Builders!$C110,"Open folder"),Builders!$C110&amp;"")</f>
        <v/>
      </c>
    </row>
    <row r="111">
      <c r="A111" s="29">
        <f>Builders!$A111&amp;""</f>
        <v/>
      </c>
      <c r="B111" s="29">
        <f>Builders!$B111&amp;""</f>
        <v/>
      </c>
      <c r="C111" s="31">
        <f>IF($A111="","",COUNTIF(Contacts!$A$2:$A$301,$A111))</f>
        <v/>
      </c>
      <c r="D111" s="31">
        <f>IF($A111="","",IF(COUNTIFS(Contacts!$A$2:$A$301,$A111,Contacts!$H$2:$H$301,"Yes")=0,"",COUNTIFS(Contacts!$A$2:$A$301,$A111,Contacts!$H$2:$H$301,"Yes")))</f>
        <v/>
      </c>
      <c r="E111" s="29">
        <f>Builders!$D111&amp;""</f>
        <v/>
      </c>
      <c r="F111" s="29">
        <f>Builders!$E111&amp;""</f>
        <v/>
      </c>
      <c r="G111" s="32">
        <f>IF(LEFT(Builders!$C111,4)="http",HYPERLINK(Builders!$C111,"Open folder"),Builders!$C111&amp;"")</f>
        <v/>
      </c>
    </row>
    <row r="112">
      <c r="A112" s="29">
        <f>Builders!$A112&amp;""</f>
        <v/>
      </c>
      <c r="B112" s="29">
        <f>Builders!$B112&amp;""</f>
        <v/>
      </c>
      <c r="C112" s="31">
        <f>IF($A112="","",COUNTIF(Contacts!$A$2:$A$301,$A112))</f>
        <v/>
      </c>
      <c r="D112" s="31">
        <f>IF($A112="","",IF(COUNTIFS(Contacts!$A$2:$A$301,$A112,Contacts!$H$2:$H$301,"Yes")=0,"",COUNTIFS(Contacts!$A$2:$A$301,$A112,Contacts!$H$2:$H$301,"Yes")))</f>
        <v/>
      </c>
      <c r="E112" s="29">
        <f>Builders!$D112&amp;""</f>
        <v/>
      </c>
      <c r="F112" s="29">
        <f>Builders!$E112&amp;""</f>
        <v/>
      </c>
      <c r="G112" s="32">
        <f>IF(LEFT(Builders!$C112,4)="http",HYPERLINK(Builders!$C112,"Open folder"),Builders!$C112&amp;"")</f>
        <v/>
      </c>
    </row>
    <row r="113">
      <c r="A113" s="29">
        <f>Builders!$A113&amp;""</f>
        <v/>
      </c>
      <c r="B113" s="29">
        <f>Builders!$B113&amp;""</f>
        <v/>
      </c>
      <c r="C113" s="31">
        <f>IF($A113="","",COUNTIF(Contacts!$A$2:$A$301,$A113))</f>
        <v/>
      </c>
      <c r="D113" s="31">
        <f>IF($A113="","",IF(COUNTIFS(Contacts!$A$2:$A$301,$A113,Contacts!$H$2:$H$301,"Yes")=0,"",COUNTIFS(Contacts!$A$2:$A$301,$A113,Contacts!$H$2:$H$301,"Yes")))</f>
        <v/>
      </c>
      <c r="E113" s="29">
        <f>Builders!$D113&amp;""</f>
        <v/>
      </c>
      <c r="F113" s="29">
        <f>Builders!$E113&amp;""</f>
        <v/>
      </c>
      <c r="G113" s="32">
        <f>IF(LEFT(Builders!$C113,4)="http",HYPERLINK(Builders!$C113,"Open folder"),Builders!$C113&amp;"")</f>
        <v/>
      </c>
    </row>
    <row r="114">
      <c r="A114" s="29">
        <f>Builders!$A114&amp;""</f>
        <v/>
      </c>
      <c r="B114" s="29">
        <f>Builders!$B114&amp;""</f>
        <v/>
      </c>
      <c r="C114" s="31">
        <f>IF($A114="","",COUNTIF(Contacts!$A$2:$A$301,$A114))</f>
        <v/>
      </c>
      <c r="D114" s="31">
        <f>IF($A114="","",IF(COUNTIFS(Contacts!$A$2:$A$301,$A114,Contacts!$H$2:$H$301,"Yes")=0,"",COUNTIFS(Contacts!$A$2:$A$301,$A114,Contacts!$H$2:$H$301,"Yes")))</f>
        <v/>
      </c>
      <c r="E114" s="29">
        <f>Builders!$D114&amp;""</f>
        <v/>
      </c>
      <c r="F114" s="29">
        <f>Builders!$E114&amp;""</f>
        <v/>
      </c>
      <c r="G114" s="32">
        <f>IF(LEFT(Builders!$C114,4)="http",HYPERLINK(Builders!$C114,"Open folder"),Builders!$C114&amp;"")</f>
        <v/>
      </c>
    </row>
    <row r="115">
      <c r="A115" s="29">
        <f>Builders!$A115&amp;""</f>
        <v/>
      </c>
      <c r="B115" s="29">
        <f>Builders!$B115&amp;""</f>
        <v/>
      </c>
      <c r="C115" s="31">
        <f>IF($A115="","",COUNTIF(Contacts!$A$2:$A$301,$A115))</f>
        <v/>
      </c>
      <c r="D115" s="31">
        <f>IF($A115="","",IF(COUNTIFS(Contacts!$A$2:$A$301,$A115,Contacts!$H$2:$H$301,"Yes")=0,"",COUNTIFS(Contacts!$A$2:$A$301,$A115,Contacts!$H$2:$H$301,"Yes")))</f>
        <v/>
      </c>
      <c r="E115" s="29">
        <f>Builders!$D115&amp;""</f>
        <v/>
      </c>
      <c r="F115" s="29">
        <f>Builders!$E115&amp;""</f>
        <v/>
      </c>
      <c r="G115" s="32">
        <f>IF(LEFT(Builders!$C115,4)="http",HYPERLINK(Builders!$C115,"Open folder"),Builders!$C115&amp;"")</f>
        <v/>
      </c>
    </row>
    <row r="116">
      <c r="A116" s="29">
        <f>Builders!$A116&amp;""</f>
        <v/>
      </c>
      <c r="B116" s="29">
        <f>Builders!$B116&amp;""</f>
        <v/>
      </c>
      <c r="C116" s="31">
        <f>IF($A116="","",COUNTIF(Contacts!$A$2:$A$301,$A116))</f>
        <v/>
      </c>
      <c r="D116" s="31">
        <f>IF($A116="","",IF(COUNTIFS(Contacts!$A$2:$A$301,$A116,Contacts!$H$2:$H$301,"Yes")=0,"",COUNTIFS(Contacts!$A$2:$A$301,$A116,Contacts!$H$2:$H$301,"Yes")))</f>
        <v/>
      </c>
      <c r="E116" s="29">
        <f>Builders!$D116&amp;""</f>
        <v/>
      </c>
      <c r="F116" s="29">
        <f>Builders!$E116&amp;""</f>
        <v/>
      </c>
      <c r="G116" s="32">
        <f>IF(LEFT(Builders!$C116,4)="http",HYPERLINK(Builders!$C116,"Open folder"),Builders!$C116&amp;"")</f>
        <v/>
      </c>
    </row>
    <row r="117">
      <c r="A117" s="29">
        <f>Builders!$A117&amp;""</f>
        <v/>
      </c>
      <c r="B117" s="29">
        <f>Builders!$B117&amp;""</f>
        <v/>
      </c>
      <c r="C117" s="31">
        <f>IF($A117="","",COUNTIF(Contacts!$A$2:$A$301,$A117))</f>
        <v/>
      </c>
      <c r="D117" s="31">
        <f>IF($A117="","",IF(COUNTIFS(Contacts!$A$2:$A$301,$A117,Contacts!$H$2:$H$301,"Yes")=0,"",COUNTIFS(Contacts!$A$2:$A$301,$A117,Contacts!$H$2:$H$301,"Yes")))</f>
        <v/>
      </c>
      <c r="E117" s="29">
        <f>Builders!$D117&amp;""</f>
        <v/>
      </c>
      <c r="F117" s="29">
        <f>Builders!$E117&amp;""</f>
        <v/>
      </c>
      <c r="G117" s="32">
        <f>IF(LEFT(Builders!$C117,4)="http",HYPERLINK(Builders!$C117,"Open folder"),Builders!$C117&amp;"")</f>
        <v/>
      </c>
    </row>
    <row r="118">
      <c r="A118" s="29">
        <f>Builders!$A118&amp;""</f>
        <v/>
      </c>
      <c r="B118" s="29">
        <f>Builders!$B118&amp;""</f>
        <v/>
      </c>
      <c r="C118" s="31">
        <f>IF($A118="","",COUNTIF(Contacts!$A$2:$A$301,$A118))</f>
        <v/>
      </c>
      <c r="D118" s="31">
        <f>IF($A118="","",IF(COUNTIFS(Contacts!$A$2:$A$301,$A118,Contacts!$H$2:$H$301,"Yes")=0,"",COUNTIFS(Contacts!$A$2:$A$301,$A118,Contacts!$H$2:$H$301,"Yes")))</f>
        <v/>
      </c>
      <c r="E118" s="29">
        <f>Builders!$D118&amp;""</f>
        <v/>
      </c>
      <c r="F118" s="29">
        <f>Builders!$E118&amp;""</f>
        <v/>
      </c>
      <c r="G118" s="32">
        <f>IF(LEFT(Builders!$C118,4)="http",HYPERLINK(Builders!$C118,"Open folder"),Builders!$C118&amp;"")</f>
        <v/>
      </c>
    </row>
    <row r="119">
      <c r="A119" s="29">
        <f>Builders!$A119&amp;""</f>
        <v/>
      </c>
      <c r="B119" s="29">
        <f>Builders!$B119&amp;""</f>
        <v/>
      </c>
      <c r="C119" s="31">
        <f>IF($A119="","",COUNTIF(Contacts!$A$2:$A$301,$A119))</f>
        <v/>
      </c>
      <c r="D119" s="31">
        <f>IF($A119="","",IF(COUNTIFS(Contacts!$A$2:$A$301,$A119,Contacts!$H$2:$H$301,"Yes")=0,"",COUNTIFS(Contacts!$A$2:$A$301,$A119,Contacts!$H$2:$H$301,"Yes")))</f>
        <v/>
      </c>
      <c r="E119" s="29">
        <f>Builders!$D119&amp;""</f>
        <v/>
      </c>
      <c r="F119" s="29">
        <f>Builders!$E119&amp;""</f>
        <v/>
      </c>
      <c r="G119" s="32">
        <f>IF(LEFT(Builders!$C119,4)="http",HYPERLINK(Builders!$C119,"Open folder"),Builders!$C119&amp;"")</f>
        <v/>
      </c>
    </row>
    <row r="120">
      <c r="A120" s="29">
        <f>Builders!$A120&amp;""</f>
        <v/>
      </c>
      <c r="B120" s="29">
        <f>Builders!$B120&amp;""</f>
        <v/>
      </c>
      <c r="C120" s="31">
        <f>IF($A120="","",COUNTIF(Contacts!$A$2:$A$301,$A120))</f>
        <v/>
      </c>
      <c r="D120" s="31">
        <f>IF($A120="","",IF(COUNTIFS(Contacts!$A$2:$A$301,$A120,Contacts!$H$2:$H$301,"Yes")=0,"",COUNTIFS(Contacts!$A$2:$A$301,$A120,Contacts!$H$2:$H$301,"Yes")))</f>
        <v/>
      </c>
      <c r="E120" s="29">
        <f>Builders!$D120&amp;""</f>
        <v/>
      </c>
      <c r="F120" s="29">
        <f>Builders!$E120&amp;""</f>
        <v/>
      </c>
      <c r="G120" s="32">
        <f>IF(LEFT(Builders!$C120,4)="http",HYPERLINK(Builders!$C120,"Open folder"),Builders!$C120&amp;"")</f>
        <v/>
      </c>
    </row>
    <row r="121">
      <c r="A121" s="29">
        <f>Builders!$A121&amp;""</f>
        <v/>
      </c>
      <c r="B121" s="29">
        <f>Builders!$B121&amp;""</f>
        <v/>
      </c>
      <c r="C121" s="31">
        <f>IF($A121="","",COUNTIF(Contacts!$A$2:$A$301,$A121))</f>
        <v/>
      </c>
      <c r="D121" s="31">
        <f>IF($A121="","",IF(COUNTIFS(Contacts!$A$2:$A$301,$A121,Contacts!$H$2:$H$301,"Yes")=0,"",COUNTIFS(Contacts!$A$2:$A$301,$A121,Contacts!$H$2:$H$301,"Yes")))</f>
        <v/>
      </c>
      <c r="E121" s="29">
        <f>Builders!$D121&amp;""</f>
        <v/>
      </c>
      <c r="F121" s="29">
        <f>Builders!$E121&amp;""</f>
        <v/>
      </c>
      <c r="G121" s="32">
        <f>IF(LEFT(Builders!$C121,4)="http",HYPERLINK(Builders!$C121,"Open folder"),Builders!$C121&amp;"")</f>
        <v/>
      </c>
    </row>
    <row r="122">
      <c r="A122" s="29">
        <f>Builders!$A122&amp;""</f>
        <v/>
      </c>
      <c r="B122" s="29">
        <f>Builders!$B122&amp;""</f>
        <v/>
      </c>
      <c r="C122" s="31">
        <f>IF($A122="","",COUNTIF(Contacts!$A$2:$A$301,$A122))</f>
        <v/>
      </c>
      <c r="D122" s="31">
        <f>IF($A122="","",IF(COUNTIFS(Contacts!$A$2:$A$301,$A122,Contacts!$H$2:$H$301,"Yes")=0,"",COUNTIFS(Contacts!$A$2:$A$301,$A122,Contacts!$H$2:$H$301,"Yes")))</f>
        <v/>
      </c>
      <c r="E122" s="29">
        <f>Builders!$D122&amp;""</f>
        <v/>
      </c>
      <c r="F122" s="29">
        <f>Builders!$E122&amp;""</f>
        <v/>
      </c>
      <c r="G122" s="32">
        <f>IF(LEFT(Builders!$C122,4)="http",HYPERLINK(Builders!$C122,"Open folder"),Builders!$C122&amp;"")</f>
        <v/>
      </c>
    </row>
    <row r="123">
      <c r="A123" s="29">
        <f>Builders!$A123&amp;""</f>
        <v/>
      </c>
      <c r="B123" s="29">
        <f>Builders!$B123&amp;""</f>
        <v/>
      </c>
      <c r="C123" s="31">
        <f>IF($A123="","",COUNTIF(Contacts!$A$2:$A$301,$A123))</f>
        <v/>
      </c>
      <c r="D123" s="31">
        <f>IF($A123="","",IF(COUNTIFS(Contacts!$A$2:$A$301,$A123,Contacts!$H$2:$H$301,"Yes")=0,"",COUNTIFS(Contacts!$A$2:$A$301,$A123,Contacts!$H$2:$H$301,"Yes")))</f>
        <v/>
      </c>
      <c r="E123" s="29">
        <f>Builders!$D123&amp;""</f>
        <v/>
      </c>
      <c r="F123" s="29">
        <f>Builders!$E123&amp;""</f>
        <v/>
      </c>
      <c r="G123" s="32">
        <f>IF(LEFT(Builders!$C123,4)="http",HYPERLINK(Builders!$C123,"Open folder"),Builders!$C123&amp;"")</f>
        <v/>
      </c>
    </row>
    <row r="124">
      <c r="A124" s="29">
        <f>Builders!$A124&amp;""</f>
        <v/>
      </c>
      <c r="B124" s="29">
        <f>Builders!$B124&amp;""</f>
        <v/>
      </c>
      <c r="C124" s="31">
        <f>IF($A124="","",COUNTIF(Contacts!$A$2:$A$301,$A124))</f>
        <v/>
      </c>
      <c r="D124" s="31">
        <f>IF($A124="","",IF(COUNTIFS(Contacts!$A$2:$A$301,$A124,Contacts!$H$2:$H$301,"Yes")=0,"",COUNTIFS(Contacts!$A$2:$A$301,$A124,Contacts!$H$2:$H$301,"Yes")))</f>
        <v/>
      </c>
      <c r="E124" s="29">
        <f>Builders!$D124&amp;""</f>
        <v/>
      </c>
      <c r="F124" s="29">
        <f>Builders!$E124&amp;""</f>
        <v/>
      </c>
      <c r="G124" s="32">
        <f>IF(LEFT(Builders!$C124,4)="http",HYPERLINK(Builders!$C124,"Open folder"),Builders!$C124&amp;"")</f>
        <v/>
      </c>
    </row>
    <row r="125">
      <c r="A125" s="29">
        <f>Builders!$A125&amp;""</f>
        <v/>
      </c>
      <c r="B125" s="29">
        <f>Builders!$B125&amp;""</f>
        <v/>
      </c>
      <c r="C125" s="31">
        <f>IF($A125="","",COUNTIF(Contacts!$A$2:$A$301,$A125))</f>
        <v/>
      </c>
      <c r="D125" s="31">
        <f>IF($A125="","",IF(COUNTIFS(Contacts!$A$2:$A$301,$A125,Contacts!$H$2:$H$301,"Yes")=0,"",COUNTIFS(Contacts!$A$2:$A$301,$A125,Contacts!$H$2:$H$301,"Yes")))</f>
        <v/>
      </c>
      <c r="E125" s="29">
        <f>Builders!$D125&amp;""</f>
        <v/>
      </c>
      <c r="F125" s="29">
        <f>Builders!$E125&amp;""</f>
        <v/>
      </c>
      <c r="G125" s="32">
        <f>IF(LEFT(Builders!$C125,4)="http",HYPERLINK(Builders!$C125,"Open folder"),Builders!$C125&amp;"")</f>
        <v/>
      </c>
    </row>
    <row r="126">
      <c r="A126" s="29">
        <f>Builders!$A126&amp;""</f>
        <v/>
      </c>
      <c r="B126" s="29">
        <f>Builders!$B126&amp;""</f>
        <v/>
      </c>
      <c r="C126" s="31">
        <f>IF($A126="","",COUNTIF(Contacts!$A$2:$A$301,$A126))</f>
        <v/>
      </c>
      <c r="D126" s="31">
        <f>IF($A126="","",IF(COUNTIFS(Contacts!$A$2:$A$301,$A126,Contacts!$H$2:$H$301,"Yes")=0,"",COUNTIFS(Contacts!$A$2:$A$301,$A126,Contacts!$H$2:$H$301,"Yes")))</f>
        <v/>
      </c>
      <c r="E126" s="29">
        <f>Builders!$D126&amp;""</f>
        <v/>
      </c>
      <c r="F126" s="29">
        <f>Builders!$E126&amp;""</f>
        <v/>
      </c>
      <c r="G126" s="32">
        <f>IF(LEFT(Builders!$C126,4)="http",HYPERLINK(Builders!$C126,"Open folder"),Builders!$C126&amp;"")</f>
        <v/>
      </c>
    </row>
    <row r="127">
      <c r="A127" s="29">
        <f>Builders!$A127&amp;""</f>
        <v/>
      </c>
      <c r="B127" s="29">
        <f>Builders!$B127&amp;""</f>
        <v/>
      </c>
      <c r="C127" s="31">
        <f>IF($A127="","",COUNTIF(Contacts!$A$2:$A$301,$A127))</f>
        <v/>
      </c>
      <c r="D127" s="31">
        <f>IF($A127="","",IF(COUNTIFS(Contacts!$A$2:$A$301,$A127,Contacts!$H$2:$H$301,"Yes")=0,"",COUNTIFS(Contacts!$A$2:$A$301,$A127,Contacts!$H$2:$H$301,"Yes")))</f>
        <v/>
      </c>
      <c r="E127" s="29">
        <f>Builders!$D127&amp;""</f>
        <v/>
      </c>
      <c r="F127" s="29">
        <f>Builders!$E127&amp;""</f>
        <v/>
      </c>
      <c r="G127" s="32">
        <f>IF(LEFT(Builders!$C127,4)="http",HYPERLINK(Builders!$C127,"Open folder"),Builders!$C127&amp;"")</f>
        <v/>
      </c>
    </row>
    <row r="128">
      <c r="A128" s="29">
        <f>Builders!$A128&amp;""</f>
        <v/>
      </c>
      <c r="B128" s="29">
        <f>Builders!$B128&amp;""</f>
        <v/>
      </c>
      <c r="C128" s="31">
        <f>IF($A128="","",COUNTIF(Contacts!$A$2:$A$301,$A128))</f>
        <v/>
      </c>
      <c r="D128" s="31">
        <f>IF($A128="","",IF(COUNTIFS(Contacts!$A$2:$A$301,$A128,Contacts!$H$2:$H$301,"Yes")=0,"",COUNTIFS(Contacts!$A$2:$A$301,$A128,Contacts!$H$2:$H$301,"Yes")))</f>
        <v/>
      </c>
      <c r="E128" s="29">
        <f>Builders!$D128&amp;""</f>
        <v/>
      </c>
      <c r="F128" s="29">
        <f>Builders!$E128&amp;""</f>
        <v/>
      </c>
      <c r="G128" s="32">
        <f>IF(LEFT(Builders!$C128,4)="http",HYPERLINK(Builders!$C128,"Open folder"),Builders!$C128&amp;"")</f>
        <v/>
      </c>
    </row>
    <row r="129">
      <c r="A129" s="29">
        <f>Builders!$A129&amp;""</f>
        <v/>
      </c>
      <c r="B129" s="29">
        <f>Builders!$B129&amp;""</f>
        <v/>
      </c>
      <c r="C129" s="31">
        <f>IF($A129="","",COUNTIF(Contacts!$A$2:$A$301,$A129))</f>
        <v/>
      </c>
      <c r="D129" s="31">
        <f>IF($A129="","",IF(COUNTIFS(Contacts!$A$2:$A$301,$A129,Contacts!$H$2:$H$301,"Yes")=0,"",COUNTIFS(Contacts!$A$2:$A$301,$A129,Contacts!$H$2:$H$301,"Yes")))</f>
        <v/>
      </c>
      <c r="E129" s="29">
        <f>Builders!$D129&amp;""</f>
        <v/>
      </c>
      <c r="F129" s="29">
        <f>Builders!$E129&amp;""</f>
        <v/>
      </c>
      <c r="G129" s="32">
        <f>IF(LEFT(Builders!$C129,4)="http",HYPERLINK(Builders!$C129,"Open folder"),Builders!$C129&amp;"")</f>
        <v/>
      </c>
    </row>
    <row r="130">
      <c r="A130" s="29">
        <f>Builders!$A130&amp;""</f>
        <v/>
      </c>
      <c r="B130" s="29">
        <f>Builders!$B130&amp;""</f>
        <v/>
      </c>
      <c r="C130" s="31">
        <f>IF($A130="","",COUNTIF(Contacts!$A$2:$A$301,$A130))</f>
        <v/>
      </c>
      <c r="D130" s="31">
        <f>IF($A130="","",IF(COUNTIFS(Contacts!$A$2:$A$301,$A130,Contacts!$H$2:$H$301,"Yes")=0,"",COUNTIFS(Contacts!$A$2:$A$301,$A130,Contacts!$H$2:$H$301,"Yes")))</f>
        <v/>
      </c>
      <c r="E130" s="29">
        <f>Builders!$D130&amp;""</f>
        <v/>
      </c>
      <c r="F130" s="29">
        <f>Builders!$E130&amp;""</f>
        <v/>
      </c>
      <c r="G130" s="32">
        <f>IF(LEFT(Builders!$C130,4)="http",HYPERLINK(Builders!$C130,"Open folder"),Builders!$C130&amp;"")</f>
        <v/>
      </c>
    </row>
    <row r="131">
      <c r="A131" s="29">
        <f>Builders!$A131&amp;""</f>
        <v/>
      </c>
      <c r="B131" s="29">
        <f>Builders!$B131&amp;""</f>
        <v/>
      </c>
      <c r="C131" s="31">
        <f>IF($A131="","",COUNTIF(Contacts!$A$2:$A$301,$A131))</f>
        <v/>
      </c>
      <c r="D131" s="31">
        <f>IF($A131="","",IF(COUNTIFS(Contacts!$A$2:$A$301,$A131,Contacts!$H$2:$H$301,"Yes")=0,"",COUNTIFS(Contacts!$A$2:$A$301,$A131,Contacts!$H$2:$H$301,"Yes")))</f>
        <v/>
      </c>
      <c r="E131" s="29">
        <f>Builders!$D131&amp;""</f>
        <v/>
      </c>
      <c r="F131" s="29">
        <f>Builders!$E131&amp;""</f>
        <v/>
      </c>
      <c r="G131" s="32">
        <f>IF(LEFT(Builders!$C131,4)="http",HYPERLINK(Builders!$C131,"Open folder"),Builders!$C131&amp;"")</f>
        <v/>
      </c>
    </row>
    <row r="132">
      <c r="A132" s="29">
        <f>Builders!$A132&amp;""</f>
        <v/>
      </c>
      <c r="B132" s="29">
        <f>Builders!$B132&amp;""</f>
        <v/>
      </c>
      <c r="C132" s="31">
        <f>IF($A132="","",COUNTIF(Contacts!$A$2:$A$301,$A132))</f>
        <v/>
      </c>
      <c r="D132" s="31">
        <f>IF($A132="","",IF(COUNTIFS(Contacts!$A$2:$A$301,$A132,Contacts!$H$2:$H$301,"Yes")=0,"",COUNTIFS(Contacts!$A$2:$A$301,$A132,Contacts!$H$2:$H$301,"Yes")))</f>
        <v/>
      </c>
      <c r="E132" s="29">
        <f>Builders!$D132&amp;""</f>
        <v/>
      </c>
      <c r="F132" s="29">
        <f>Builders!$E132&amp;""</f>
        <v/>
      </c>
      <c r="G132" s="32">
        <f>IF(LEFT(Builders!$C132,4)="http",HYPERLINK(Builders!$C132,"Open folder"),Builders!$C132&amp;"")</f>
        <v/>
      </c>
    </row>
    <row r="133">
      <c r="A133" s="29">
        <f>Builders!$A133&amp;""</f>
        <v/>
      </c>
      <c r="B133" s="29">
        <f>Builders!$B133&amp;""</f>
        <v/>
      </c>
      <c r="C133" s="31">
        <f>IF($A133="","",COUNTIF(Contacts!$A$2:$A$301,$A133))</f>
        <v/>
      </c>
      <c r="D133" s="31">
        <f>IF($A133="","",IF(COUNTIFS(Contacts!$A$2:$A$301,$A133,Contacts!$H$2:$H$301,"Yes")=0,"",COUNTIFS(Contacts!$A$2:$A$301,$A133,Contacts!$H$2:$H$301,"Yes")))</f>
        <v/>
      </c>
      <c r="E133" s="29">
        <f>Builders!$D133&amp;""</f>
        <v/>
      </c>
      <c r="F133" s="29">
        <f>Builders!$E133&amp;""</f>
        <v/>
      </c>
      <c r="G133" s="32">
        <f>IF(LEFT(Builders!$C133,4)="http",HYPERLINK(Builders!$C133,"Open folder"),Builders!$C133&amp;"")</f>
        <v/>
      </c>
    </row>
    <row r="134">
      <c r="A134" s="29">
        <f>Builders!$A134&amp;""</f>
        <v/>
      </c>
      <c r="B134" s="29">
        <f>Builders!$B134&amp;""</f>
        <v/>
      </c>
      <c r="C134" s="31">
        <f>IF($A134="","",COUNTIF(Contacts!$A$2:$A$301,$A134))</f>
        <v/>
      </c>
      <c r="D134" s="31">
        <f>IF($A134="","",IF(COUNTIFS(Contacts!$A$2:$A$301,$A134,Contacts!$H$2:$H$301,"Yes")=0,"",COUNTIFS(Contacts!$A$2:$A$301,$A134,Contacts!$H$2:$H$301,"Yes")))</f>
        <v/>
      </c>
      <c r="E134" s="29">
        <f>Builders!$D134&amp;""</f>
        <v/>
      </c>
      <c r="F134" s="29">
        <f>Builders!$E134&amp;""</f>
        <v/>
      </c>
      <c r="G134" s="32">
        <f>IF(LEFT(Builders!$C134,4)="http",HYPERLINK(Builders!$C134,"Open folder"),Builders!$C134&amp;"")</f>
        <v/>
      </c>
    </row>
    <row r="135">
      <c r="A135" s="29">
        <f>Builders!$A135&amp;""</f>
        <v/>
      </c>
      <c r="B135" s="29">
        <f>Builders!$B135&amp;""</f>
        <v/>
      </c>
      <c r="C135" s="31">
        <f>IF($A135="","",COUNTIF(Contacts!$A$2:$A$301,$A135))</f>
        <v/>
      </c>
      <c r="D135" s="31">
        <f>IF($A135="","",IF(COUNTIFS(Contacts!$A$2:$A$301,$A135,Contacts!$H$2:$H$301,"Yes")=0,"",COUNTIFS(Contacts!$A$2:$A$301,$A135,Contacts!$H$2:$H$301,"Yes")))</f>
        <v/>
      </c>
      <c r="E135" s="29">
        <f>Builders!$D135&amp;""</f>
        <v/>
      </c>
      <c r="F135" s="29">
        <f>Builders!$E135&amp;""</f>
        <v/>
      </c>
      <c r="G135" s="32">
        <f>IF(LEFT(Builders!$C135,4)="http",HYPERLINK(Builders!$C135,"Open folder"),Builders!$C135&amp;"")</f>
        <v/>
      </c>
    </row>
    <row r="136">
      <c r="A136" s="29">
        <f>Builders!$A136&amp;""</f>
        <v/>
      </c>
      <c r="B136" s="29">
        <f>Builders!$B136&amp;""</f>
        <v/>
      </c>
      <c r="C136" s="31">
        <f>IF($A136="","",COUNTIF(Contacts!$A$2:$A$301,$A136))</f>
        <v/>
      </c>
      <c r="D136" s="31">
        <f>IF($A136="","",IF(COUNTIFS(Contacts!$A$2:$A$301,$A136,Contacts!$H$2:$H$301,"Yes")=0,"",COUNTIFS(Contacts!$A$2:$A$301,$A136,Contacts!$H$2:$H$301,"Yes")))</f>
        <v/>
      </c>
      <c r="E136" s="29">
        <f>Builders!$D136&amp;""</f>
        <v/>
      </c>
      <c r="F136" s="29">
        <f>Builders!$E136&amp;""</f>
        <v/>
      </c>
      <c r="G136" s="32">
        <f>IF(LEFT(Builders!$C136,4)="http",HYPERLINK(Builders!$C136,"Open folder"),Builders!$C136&amp;"")</f>
        <v/>
      </c>
    </row>
    <row r="137">
      <c r="A137" s="29">
        <f>Builders!$A137&amp;""</f>
        <v/>
      </c>
      <c r="B137" s="29">
        <f>Builders!$B137&amp;""</f>
        <v/>
      </c>
      <c r="C137" s="31">
        <f>IF($A137="","",COUNTIF(Contacts!$A$2:$A$301,$A137))</f>
        <v/>
      </c>
      <c r="D137" s="31">
        <f>IF($A137="","",IF(COUNTIFS(Contacts!$A$2:$A$301,$A137,Contacts!$H$2:$H$301,"Yes")=0,"",COUNTIFS(Contacts!$A$2:$A$301,$A137,Contacts!$H$2:$H$301,"Yes")))</f>
        <v/>
      </c>
      <c r="E137" s="29">
        <f>Builders!$D137&amp;""</f>
        <v/>
      </c>
      <c r="F137" s="29">
        <f>Builders!$E137&amp;""</f>
        <v/>
      </c>
      <c r="G137" s="32">
        <f>IF(LEFT(Builders!$C137,4)="http",HYPERLINK(Builders!$C137,"Open folder"),Builders!$C137&amp;"")</f>
        <v/>
      </c>
    </row>
    <row r="138">
      <c r="A138" s="29">
        <f>Builders!$A138&amp;""</f>
        <v/>
      </c>
      <c r="B138" s="29">
        <f>Builders!$B138&amp;""</f>
        <v/>
      </c>
      <c r="C138" s="31">
        <f>IF($A138="","",COUNTIF(Contacts!$A$2:$A$301,$A138))</f>
        <v/>
      </c>
      <c r="D138" s="31">
        <f>IF($A138="","",IF(COUNTIFS(Contacts!$A$2:$A$301,$A138,Contacts!$H$2:$H$301,"Yes")=0,"",COUNTIFS(Contacts!$A$2:$A$301,$A138,Contacts!$H$2:$H$301,"Yes")))</f>
        <v/>
      </c>
      <c r="E138" s="29">
        <f>Builders!$D138&amp;""</f>
        <v/>
      </c>
      <c r="F138" s="29">
        <f>Builders!$E138&amp;""</f>
        <v/>
      </c>
      <c r="G138" s="32">
        <f>IF(LEFT(Builders!$C138,4)="http",HYPERLINK(Builders!$C138,"Open folder"),Builders!$C138&amp;"")</f>
        <v/>
      </c>
    </row>
    <row r="139">
      <c r="A139" s="29">
        <f>Builders!$A139&amp;""</f>
        <v/>
      </c>
      <c r="B139" s="29">
        <f>Builders!$B139&amp;""</f>
        <v/>
      </c>
      <c r="C139" s="31">
        <f>IF($A139="","",COUNTIF(Contacts!$A$2:$A$301,$A139))</f>
        <v/>
      </c>
      <c r="D139" s="31">
        <f>IF($A139="","",IF(COUNTIFS(Contacts!$A$2:$A$301,$A139,Contacts!$H$2:$H$301,"Yes")=0,"",COUNTIFS(Contacts!$A$2:$A$301,$A139,Contacts!$H$2:$H$301,"Yes")))</f>
        <v/>
      </c>
      <c r="E139" s="29">
        <f>Builders!$D139&amp;""</f>
        <v/>
      </c>
      <c r="F139" s="29">
        <f>Builders!$E139&amp;""</f>
        <v/>
      </c>
      <c r="G139" s="32">
        <f>IF(LEFT(Builders!$C139,4)="http",HYPERLINK(Builders!$C139,"Open folder"),Builders!$C139&amp;"")</f>
        <v/>
      </c>
    </row>
    <row r="140">
      <c r="A140" s="29">
        <f>Builders!$A140&amp;""</f>
        <v/>
      </c>
      <c r="B140" s="29">
        <f>Builders!$B140&amp;""</f>
        <v/>
      </c>
      <c r="C140" s="31">
        <f>IF($A140="","",COUNTIF(Contacts!$A$2:$A$301,$A140))</f>
        <v/>
      </c>
      <c r="D140" s="31">
        <f>IF($A140="","",IF(COUNTIFS(Contacts!$A$2:$A$301,$A140,Contacts!$H$2:$H$301,"Yes")=0,"",COUNTIFS(Contacts!$A$2:$A$301,$A140,Contacts!$H$2:$H$301,"Yes")))</f>
        <v/>
      </c>
      <c r="E140" s="29">
        <f>Builders!$D140&amp;""</f>
        <v/>
      </c>
      <c r="F140" s="29">
        <f>Builders!$E140&amp;""</f>
        <v/>
      </c>
      <c r="G140" s="32">
        <f>IF(LEFT(Builders!$C140,4)="http",HYPERLINK(Builders!$C140,"Open folder"),Builders!$C140&amp;"")</f>
        <v/>
      </c>
    </row>
    <row r="141">
      <c r="A141" s="29">
        <f>Builders!$A141&amp;""</f>
        <v/>
      </c>
      <c r="B141" s="29">
        <f>Builders!$B141&amp;""</f>
        <v/>
      </c>
      <c r="C141" s="31">
        <f>IF($A141="","",COUNTIF(Contacts!$A$2:$A$301,$A141))</f>
        <v/>
      </c>
      <c r="D141" s="31">
        <f>IF($A141="","",IF(COUNTIFS(Contacts!$A$2:$A$301,$A141,Contacts!$H$2:$H$301,"Yes")=0,"",COUNTIFS(Contacts!$A$2:$A$301,$A141,Contacts!$H$2:$H$301,"Yes")))</f>
        <v/>
      </c>
      <c r="E141" s="29">
        <f>Builders!$D141&amp;""</f>
        <v/>
      </c>
      <c r="F141" s="29">
        <f>Builders!$E141&amp;""</f>
        <v/>
      </c>
      <c r="G141" s="32">
        <f>IF(LEFT(Builders!$C141,4)="http",HYPERLINK(Builders!$C141,"Open folder"),Builders!$C141&amp;"")</f>
        <v/>
      </c>
    </row>
    <row r="142">
      <c r="A142" s="29">
        <f>Builders!$A142&amp;""</f>
        <v/>
      </c>
      <c r="B142" s="29">
        <f>Builders!$B142&amp;""</f>
        <v/>
      </c>
      <c r="C142" s="31">
        <f>IF($A142="","",COUNTIF(Contacts!$A$2:$A$301,$A142))</f>
        <v/>
      </c>
      <c r="D142" s="31">
        <f>IF($A142="","",IF(COUNTIFS(Contacts!$A$2:$A$301,$A142,Contacts!$H$2:$H$301,"Yes")=0,"",COUNTIFS(Contacts!$A$2:$A$301,$A142,Contacts!$H$2:$H$301,"Yes")))</f>
        <v/>
      </c>
      <c r="E142" s="29">
        <f>Builders!$D142&amp;""</f>
        <v/>
      </c>
      <c r="F142" s="29">
        <f>Builders!$E142&amp;""</f>
        <v/>
      </c>
      <c r="G142" s="32">
        <f>IF(LEFT(Builders!$C142,4)="http",HYPERLINK(Builders!$C142,"Open folder"),Builders!$C142&amp;"")</f>
        <v/>
      </c>
    </row>
    <row r="143">
      <c r="A143" s="29">
        <f>Builders!$A143&amp;""</f>
        <v/>
      </c>
      <c r="B143" s="29">
        <f>Builders!$B143&amp;""</f>
        <v/>
      </c>
      <c r="C143" s="31">
        <f>IF($A143="","",COUNTIF(Contacts!$A$2:$A$301,$A143))</f>
        <v/>
      </c>
      <c r="D143" s="31">
        <f>IF($A143="","",IF(COUNTIFS(Contacts!$A$2:$A$301,$A143,Contacts!$H$2:$H$301,"Yes")=0,"",COUNTIFS(Contacts!$A$2:$A$301,$A143,Contacts!$H$2:$H$301,"Yes")))</f>
        <v/>
      </c>
      <c r="E143" s="29">
        <f>Builders!$D143&amp;""</f>
        <v/>
      </c>
      <c r="F143" s="29">
        <f>Builders!$E143&amp;""</f>
        <v/>
      </c>
      <c r="G143" s="32">
        <f>IF(LEFT(Builders!$C143,4)="http",HYPERLINK(Builders!$C143,"Open folder"),Builders!$C143&amp;"")</f>
        <v/>
      </c>
    </row>
    <row r="144">
      <c r="A144" s="29">
        <f>Builders!$A144&amp;""</f>
        <v/>
      </c>
      <c r="B144" s="29">
        <f>Builders!$B144&amp;""</f>
        <v/>
      </c>
      <c r="C144" s="31">
        <f>IF($A144="","",COUNTIF(Contacts!$A$2:$A$301,$A144))</f>
        <v/>
      </c>
      <c r="D144" s="31">
        <f>IF($A144="","",IF(COUNTIFS(Contacts!$A$2:$A$301,$A144,Contacts!$H$2:$H$301,"Yes")=0,"",COUNTIFS(Contacts!$A$2:$A$301,$A144,Contacts!$H$2:$H$301,"Yes")))</f>
        <v/>
      </c>
      <c r="E144" s="29">
        <f>Builders!$D144&amp;""</f>
        <v/>
      </c>
      <c r="F144" s="29">
        <f>Builders!$E144&amp;""</f>
        <v/>
      </c>
      <c r="G144" s="32">
        <f>IF(LEFT(Builders!$C144,4)="http",HYPERLINK(Builders!$C144,"Open folder"),Builders!$C144&amp;"")</f>
        <v/>
      </c>
    </row>
    <row r="145">
      <c r="A145" s="29">
        <f>Builders!$A145&amp;""</f>
        <v/>
      </c>
      <c r="B145" s="29">
        <f>Builders!$B145&amp;""</f>
        <v/>
      </c>
      <c r="C145" s="31">
        <f>IF($A145="","",COUNTIF(Contacts!$A$2:$A$301,$A145))</f>
        <v/>
      </c>
      <c r="D145" s="31">
        <f>IF($A145="","",IF(COUNTIFS(Contacts!$A$2:$A$301,$A145,Contacts!$H$2:$H$301,"Yes")=0,"",COUNTIFS(Contacts!$A$2:$A$301,$A145,Contacts!$H$2:$H$301,"Yes")))</f>
        <v/>
      </c>
      <c r="E145" s="29">
        <f>Builders!$D145&amp;""</f>
        <v/>
      </c>
      <c r="F145" s="29">
        <f>Builders!$E145&amp;""</f>
        <v/>
      </c>
      <c r="G145" s="32">
        <f>IF(LEFT(Builders!$C145,4)="http",HYPERLINK(Builders!$C145,"Open folder"),Builders!$C145&amp;"")</f>
        <v/>
      </c>
    </row>
    <row r="146">
      <c r="A146" s="29">
        <f>Builders!$A146&amp;""</f>
        <v/>
      </c>
      <c r="B146" s="29">
        <f>Builders!$B146&amp;""</f>
        <v/>
      </c>
      <c r="C146" s="31">
        <f>IF($A146="","",COUNTIF(Contacts!$A$2:$A$301,$A146))</f>
        <v/>
      </c>
      <c r="D146" s="31">
        <f>IF($A146="","",IF(COUNTIFS(Contacts!$A$2:$A$301,$A146,Contacts!$H$2:$H$301,"Yes")=0,"",COUNTIFS(Contacts!$A$2:$A$301,$A146,Contacts!$H$2:$H$301,"Yes")))</f>
        <v/>
      </c>
      <c r="E146" s="29">
        <f>Builders!$D146&amp;""</f>
        <v/>
      </c>
      <c r="F146" s="29">
        <f>Builders!$E146&amp;""</f>
        <v/>
      </c>
      <c r="G146" s="32">
        <f>IF(LEFT(Builders!$C146,4)="http",HYPERLINK(Builders!$C146,"Open folder"),Builders!$C146&amp;"")</f>
        <v/>
      </c>
    </row>
    <row r="147">
      <c r="A147" s="29">
        <f>Builders!$A147&amp;""</f>
        <v/>
      </c>
      <c r="B147" s="29">
        <f>Builders!$B147&amp;""</f>
        <v/>
      </c>
      <c r="C147" s="31">
        <f>IF($A147="","",COUNTIF(Contacts!$A$2:$A$301,$A147))</f>
        <v/>
      </c>
      <c r="D147" s="31">
        <f>IF($A147="","",IF(COUNTIFS(Contacts!$A$2:$A$301,$A147,Contacts!$H$2:$H$301,"Yes")=0,"",COUNTIFS(Contacts!$A$2:$A$301,$A147,Contacts!$H$2:$H$301,"Yes")))</f>
        <v/>
      </c>
      <c r="E147" s="29">
        <f>Builders!$D147&amp;""</f>
        <v/>
      </c>
      <c r="F147" s="29">
        <f>Builders!$E147&amp;""</f>
        <v/>
      </c>
      <c r="G147" s="32">
        <f>IF(LEFT(Builders!$C147,4)="http",HYPERLINK(Builders!$C147,"Open folder"),Builders!$C147&amp;"")</f>
        <v/>
      </c>
    </row>
    <row r="148">
      <c r="A148" s="29">
        <f>Builders!$A148&amp;""</f>
        <v/>
      </c>
      <c r="B148" s="29">
        <f>Builders!$B148&amp;""</f>
        <v/>
      </c>
      <c r="C148" s="31">
        <f>IF($A148="","",COUNTIF(Contacts!$A$2:$A$301,$A148))</f>
        <v/>
      </c>
      <c r="D148" s="31">
        <f>IF($A148="","",IF(COUNTIFS(Contacts!$A$2:$A$301,$A148,Contacts!$H$2:$H$301,"Yes")=0,"",COUNTIFS(Contacts!$A$2:$A$301,$A148,Contacts!$H$2:$H$301,"Yes")))</f>
        <v/>
      </c>
      <c r="E148" s="29">
        <f>Builders!$D148&amp;""</f>
        <v/>
      </c>
      <c r="F148" s="29">
        <f>Builders!$E148&amp;""</f>
        <v/>
      </c>
      <c r="G148" s="32">
        <f>IF(LEFT(Builders!$C148,4)="http",HYPERLINK(Builders!$C148,"Open folder"),Builders!$C148&amp;"")</f>
        <v/>
      </c>
    </row>
    <row r="149">
      <c r="A149" s="29">
        <f>Builders!$A149&amp;""</f>
        <v/>
      </c>
      <c r="B149" s="29">
        <f>Builders!$B149&amp;""</f>
        <v/>
      </c>
      <c r="C149" s="31">
        <f>IF($A149="","",COUNTIF(Contacts!$A$2:$A$301,$A149))</f>
        <v/>
      </c>
      <c r="D149" s="31">
        <f>IF($A149="","",IF(COUNTIFS(Contacts!$A$2:$A$301,$A149,Contacts!$H$2:$H$301,"Yes")=0,"",COUNTIFS(Contacts!$A$2:$A$301,$A149,Contacts!$H$2:$H$301,"Yes")))</f>
        <v/>
      </c>
      <c r="E149" s="29">
        <f>Builders!$D149&amp;""</f>
        <v/>
      </c>
      <c r="F149" s="29">
        <f>Builders!$E149&amp;""</f>
        <v/>
      </c>
      <c r="G149" s="32">
        <f>IF(LEFT(Builders!$C149,4)="http",HYPERLINK(Builders!$C149,"Open folder"),Builders!$C149&amp;"")</f>
        <v/>
      </c>
    </row>
    <row r="150">
      <c r="A150" s="29">
        <f>Builders!$A150&amp;""</f>
        <v/>
      </c>
      <c r="B150" s="29">
        <f>Builders!$B150&amp;""</f>
        <v/>
      </c>
      <c r="C150" s="31">
        <f>IF($A150="","",COUNTIF(Contacts!$A$2:$A$301,$A150))</f>
        <v/>
      </c>
      <c r="D150" s="31">
        <f>IF($A150="","",IF(COUNTIFS(Contacts!$A$2:$A$301,$A150,Contacts!$H$2:$H$301,"Yes")=0,"",COUNTIFS(Contacts!$A$2:$A$301,$A150,Contacts!$H$2:$H$301,"Yes")))</f>
        <v/>
      </c>
      <c r="E150" s="29">
        <f>Builders!$D150&amp;""</f>
        <v/>
      </c>
      <c r="F150" s="29">
        <f>Builders!$E150&amp;""</f>
        <v/>
      </c>
      <c r="G150" s="32">
        <f>IF(LEFT(Builders!$C150,4)="http",HYPERLINK(Builders!$C150,"Open folder"),Builders!$C150&amp;"")</f>
        <v/>
      </c>
    </row>
    <row r="151">
      <c r="A151" s="29">
        <f>Builders!$A151&amp;""</f>
        <v/>
      </c>
      <c r="B151" s="29">
        <f>Builders!$B151&amp;""</f>
        <v/>
      </c>
      <c r="C151" s="31">
        <f>IF($A151="","",COUNTIF(Contacts!$A$2:$A$301,$A151))</f>
        <v/>
      </c>
      <c r="D151" s="31">
        <f>IF($A151="","",IF(COUNTIFS(Contacts!$A$2:$A$301,$A151,Contacts!$H$2:$H$301,"Yes")=0,"",COUNTIFS(Contacts!$A$2:$A$301,$A151,Contacts!$H$2:$H$301,"Yes")))</f>
        <v/>
      </c>
      <c r="E151" s="29">
        <f>Builders!$D151&amp;""</f>
        <v/>
      </c>
      <c r="F151" s="29">
        <f>Builders!$E151&amp;""</f>
        <v/>
      </c>
      <c r="G151" s="32">
        <f>IF(LEFT(Builders!$C151,4)="http",HYPERLINK(Builders!$C151,"Open folder"),Builders!$C151&amp;"")</f>
        <v/>
      </c>
    </row>
    <row r="152">
      <c r="A152" s="29">
        <f>Builders!$A152&amp;""</f>
        <v/>
      </c>
      <c r="B152" s="29">
        <f>Builders!$B152&amp;""</f>
        <v/>
      </c>
      <c r="C152" s="31">
        <f>IF($A152="","",COUNTIF(Contacts!$A$2:$A$301,$A152))</f>
        <v/>
      </c>
      <c r="D152" s="31">
        <f>IF($A152="","",IF(COUNTIFS(Contacts!$A$2:$A$301,$A152,Contacts!$H$2:$H$301,"Yes")=0,"",COUNTIFS(Contacts!$A$2:$A$301,$A152,Contacts!$H$2:$H$301,"Yes")))</f>
        <v/>
      </c>
      <c r="E152" s="29">
        <f>Builders!$D152&amp;""</f>
        <v/>
      </c>
      <c r="F152" s="29">
        <f>Builders!$E152&amp;""</f>
        <v/>
      </c>
      <c r="G152" s="32">
        <f>IF(LEFT(Builders!$C152,4)="http",HYPERLINK(Builders!$C152,"Open folder"),Builders!$C152&amp;"")</f>
        <v/>
      </c>
    </row>
    <row r="153">
      <c r="A153" s="29">
        <f>Builders!$A153&amp;""</f>
        <v/>
      </c>
      <c r="B153" s="29">
        <f>Builders!$B153&amp;""</f>
        <v/>
      </c>
      <c r="C153" s="31">
        <f>IF($A153="","",COUNTIF(Contacts!$A$2:$A$301,$A153))</f>
        <v/>
      </c>
      <c r="D153" s="31">
        <f>IF($A153="","",IF(COUNTIFS(Contacts!$A$2:$A$301,$A153,Contacts!$H$2:$H$301,"Yes")=0,"",COUNTIFS(Contacts!$A$2:$A$301,$A153,Contacts!$H$2:$H$301,"Yes")))</f>
        <v/>
      </c>
      <c r="E153" s="29">
        <f>Builders!$D153&amp;""</f>
        <v/>
      </c>
      <c r="F153" s="29">
        <f>Builders!$E153&amp;""</f>
        <v/>
      </c>
      <c r="G153" s="32">
        <f>IF(LEFT(Builders!$C153,4)="http",HYPERLINK(Builders!$C153,"Open folder"),Builders!$C153&amp;"")</f>
        <v/>
      </c>
    </row>
    <row r="154">
      <c r="A154" s="29">
        <f>Builders!$A154&amp;""</f>
        <v/>
      </c>
      <c r="B154" s="29">
        <f>Builders!$B154&amp;""</f>
        <v/>
      </c>
      <c r="C154" s="31">
        <f>IF($A154="","",COUNTIF(Contacts!$A$2:$A$301,$A154))</f>
        <v/>
      </c>
      <c r="D154" s="31">
        <f>IF($A154="","",IF(COUNTIFS(Contacts!$A$2:$A$301,$A154,Contacts!$H$2:$H$301,"Yes")=0,"",COUNTIFS(Contacts!$A$2:$A$301,$A154,Contacts!$H$2:$H$301,"Yes")))</f>
        <v/>
      </c>
      <c r="E154" s="29">
        <f>Builders!$D154&amp;""</f>
        <v/>
      </c>
      <c r="F154" s="29">
        <f>Builders!$E154&amp;""</f>
        <v/>
      </c>
      <c r="G154" s="32">
        <f>IF(LEFT(Builders!$C154,4)="http",HYPERLINK(Builders!$C154,"Open folder"),Builders!$C154&amp;"")</f>
        <v/>
      </c>
    </row>
    <row r="155">
      <c r="A155" s="29">
        <f>Builders!$A155&amp;""</f>
        <v/>
      </c>
      <c r="B155" s="29">
        <f>Builders!$B155&amp;""</f>
        <v/>
      </c>
      <c r="C155" s="31">
        <f>IF($A155="","",COUNTIF(Contacts!$A$2:$A$301,$A155))</f>
        <v/>
      </c>
      <c r="D155" s="31">
        <f>IF($A155="","",IF(COUNTIFS(Contacts!$A$2:$A$301,$A155,Contacts!$H$2:$H$301,"Yes")=0,"",COUNTIFS(Contacts!$A$2:$A$301,$A155,Contacts!$H$2:$H$301,"Yes")))</f>
        <v/>
      </c>
      <c r="E155" s="29">
        <f>Builders!$D155&amp;""</f>
        <v/>
      </c>
      <c r="F155" s="29">
        <f>Builders!$E155&amp;""</f>
        <v/>
      </c>
      <c r="G155" s="32">
        <f>IF(LEFT(Builders!$C155,4)="http",HYPERLINK(Builders!$C155,"Open folder"),Builders!$C155&amp;"")</f>
        <v/>
      </c>
    </row>
    <row r="156">
      <c r="A156" s="29">
        <f>Builders!$A156&amp;""</f>
        <v/>
      </c>
      <c r="B156" s="29">
        <f>Builders!$B156&amp;""</f>
        <v/>
      </c>
      <c r="C156" s="31">
        <f>IF($A156="","",COUNTIF(Contacts!$A$2:$A$301,$A156))</f>
        <v/>
      </c>
      <c r="D156" s="31">
        <f>IF($A156="","",IF(COUNTIFS(Contacts!$A$2:$A$301,$A156,Contacts!$H$2:$H$301,"Yes")=0,"",COUNTIFS(Contacts!$A$2:$A$301,$A156,Contacts!$H$2:$H$301,"Yes")))</f>
        <v/>
      </c>
      <c r="E156" s="29">
        <f>Builders!$D156&amp;""</f>
        <v/>
      </c>
      <c r="F156" s="29">
        <f>Builders!$E156&amp;""</f>
        <v/>
      </c>
      <c r="G156" s="32">
        <f>IF(LEFT(Builders!$C156,4)="http",HYPERLINK(Builders!$C156,"Open folder"),Builders!$C156&amp;"")</f>
        <v/>
      </c>
    </row>
    <row r="157">
      <c r="A157" s="29">
        <f>Builders!$A157&amp;""</f>
        <v/>
      </c>
      <c r="B157" s="29">
        <f>Builders!$B157&amp;""</f>
        <v/>
      </c>
      <c r="C157" s="31">
        <f>IF($A157="","",COUNTIF(Contacts!$A$2:$A$301,$A157))</f>
        <v/>
      </c>
      <c r="D157" s="31">
        <f>IF($A157="","",IF(COUNTIFS(Contacts!$A$2:$A$301,$A157,Contacts!$H$2:$H$301,"Yes")=0,"",COUNTIFS(Contacts!$A$2:$A$301,$A157,Contacts!$H$2:$H$301,"Yes")))</f>
        <v/>
      </c>
      <c r="E157" s="29">
        <f>Builders!$D157&amp;""</f>
        <v/>
      </c>
      <c r="F157" s="29">
        <f>Builders!$E157&amp;""</f>
        <v/>
      </c>
      <c r="G157" s="32">
        <f>IF(LEFT(Builders!$C157,4)="http",HYPERLINK(Builders!$C157,"Open folder"),Builders!$C157&amp;"")</f>
        <v/>
      </c>
    </row>
    <row r="158">
      <c r="A158" s="29">
        <f>Builders!$A158&amp;""</f>
        <v/>
      </c>
      <c r="B158" s="29">
        <f>Builders!$B158&amp;""</f>
        <v/>
      </c>
      <c r="C158" s="31">
        <f>IF($A158="","",COUNTIF(Contacts!$A$2:$A$301,$A158))</f>
        <v/>
      </c>
      <c r="D158" s="31">
        <f>IF($A158="","",IF(COUNTIFS(Contacts!$A$2:$A$301,$A158,Contacts!$H$2:$H$301,"Yes")=0,"",COUNTIFS(Contacts!$A$2:$A$301,$A158,Contacts!$H$2:$H$301,"Yes")))</f>
        <v/>
      </c>
      <c r="E158" s="29">
        <f>Builders!$D158&amp;""</f>
        <v/>
      </c>
      <c r="F158" s="29">
        <f>Builders!$E158&amp;""</f>
        <v/>
      </c>
      <c r="G158" s="32">
        <f>IF(LEFT(Builders!$C158,4)="http",HYPERLINK(Builders!$C158,"Open folder"),Builders!$C158&amp;"")</f>
        <v/>
      </c>
    </row>
    <row r="159">
      <c r="A159" s="29">
        <f>Builders!$A159&amp;""</f>
        <v/>
      </c>
      <c r="B159" s="29">
        <f>Builders!$B159&amp;""</f>
        <v/>
      </c>
      <c r="C159" s="31">
        <f>IF($A159="","",COUNTIF(Contacts!$A$2:$A$301,$A159))</f>
        <v/>
      </c>
      <c r="D159" s="31">
        <f>IF($A159="","",IF(COUNTIFS(Contacts!$A$2:$A$301,$A159,Contacts!$H$2:$H$301,"Yes")=0,"",COUNTIFS(Contacts!$A$2:$A$301,$A159,Contacts!$H$2:$H$301,"Yes")))</f>
        <v/>
      </c>
      <c r="E159" s="29">
        <f>Builders!$D159&amp;""</f>
        <v/>
      </c>
      <c r="F159" s="29">
        <f>Builders!$E159&amp;""</f>
        <v/>
      </c>
      <c r="G159" s="32">
        <f>IF(LEFT(Builders!$C159,4)="http",HYPERLINK(Builders!$C159,"Open folder"),Builders!$C159&amp;"")</f>
        <v/>
      </c>
    </row>
    <row r="160">
      <c r="A160" s="29">
        <f>Builders!$A160&amp;""</f>
        <v/>
      </c>
      <c r="B160" s="29">
        <f>Builders!$B160&amp;""</f>
        <v/>
      </c>
      <c r="C160" s="31">
        <f>IF($A160="","",COUNTIF(Contacts!$A$2:$A$301,$A160))</f>
        <v/>
      </c>
      <c r="D160" s="31">
        <f>IF($A160="","",IF(COUNTIFS(Contacts!$A$2:$A$301,$A160,Contacts!$H$2:$H$301,"Yes")=0,"",COUNTIFS(Contacts!$A$2:$A$301,$A160,Contacts!$H$2:$H$301,"Yes")))</f>
        <v/>
      </c>
      <c r="E160" s="29">
        <f>Builders!$D160&amp;""</f>
        <v/>
      </c>
      <c r="F160" s="29">
        <f>Builders!$E160&amp;""</f>
        <v/>
      </c>
      <c r="G160" s="32">
        <f>IF(LEFT(Builders!$C160,4)="http",HYPERLINK(Builders!$C160,"Open folder"),Builders!$C160&amp;"")</f>
        <v/>
      </c>
    </row>
    <row r="161">
      <c r="A161" s="29">
        <f>Builders!$A161&amp;""</f>
        <v/>
      </c>
      <c r="B161" s="29">
        <f>Builders!$B161&amp;""</f>
        <v/>
      </c>
      <c r="C161" s="31">
        <f>IF($A161="","",COUNTIF(Contacts!$A$2:$A$301,$A161))</f>
        <v/>
      </c>
      <c r="D161" s="31">
        <f>IF($A161="","",IF(COUNTIFS(Contacts!$A$2:$A$301,$A161,Contacts!$H$2:$H$301,"Yes")=0,"",COUNTIFS(Contacts!$A$2:$A$301,$A161,Contacts!$H$2:$H$301,"Yes")))</f>
        <v/>
      </c>
      <c r="E161" s="29">
        <f>Builders!$D161&amp;""</f>
        <v/>
      </c>
      <c r="F161" s="29">
        <f>Builders!$E161&amp;""</f>
        <v/>
      </c>
      <c r="G161" s="32">
        <f>IF(LEFT(Builders!$C161,4)="http",HYPERLINK(Builders!$C161,"Open folder"),Builders!$C161&amp;"")</f>
        <v/>
      </c>
    </row>
    <row r="162">
      <c r="A162" s="29">
        <f>Builders!$A162&amp;""</f>
        <v/>
      </c>
      <c r="B162" s="29">
        <f>Builders!$B162&amp;""</f>
        <v/>
      </c>
      <c r="C162" s="31">
        <f>IF($A162="","",COUNTIF(Contacts!$A$2:$A$301,$A162))</f>
        <v/>
      </c>
      <c r="D162" s="31">
        <f>IF($A162="","",IF(COUNTIFS(Contacts!$A$2:$A$301,$A162,Contacts!$H$2:$H$301,"Yes")=0,"",COUNTIFS(Contacts!$A$2:$A$301,$A162,Contacts!$H$2:$H$301,"Yes")))</f>
        <v/>
      </c>
      <c r="E162" s="29">
        <f>Builders!$D162&amp;""</f>
        <v/>
      </c>
      <c r="F162" s="29">
        <f>Builders!$E162&amp;""</f>
        <v/>
      </c>
      <c r="G162" s="32">
        <f>IF(LEFT(Builders!$C162,4)="http",HYPERLINK(Builders!$C162,"Open folder"),Builders!$C162&amp;"")</f>
        <v/>
      </c>
    </row>
    <row r="163">
      <c r="A163" s="29">
        <f>Builders!$A163&amp;""</f>
        <v/>
      </c>
      <c r="B163" s="29">
        <f>Builders!$B163&amp;""</f>
        <v/>
      </c>
      <c r="C163" s="31">
        <f>IF($A163="","",COUNTIF(Contacts!$A$2:$A$301,$A163))</f>
        <v/>
      </c>
      <c r="D163" s="31">
        <f>IF($A163="","",IF(COUNTIFS(Contacts!$A$2:$A$301,$A163,Contacts!$H$2:$H$301,"Yes")=0,"",COUNTIFS(Contacts!$A$2:$A$301,$A163,Contacts!$H$2:$H$301,"Yes")))</f>
        <v/>
      </c>
      <c r="E163" s="29">
        <f>Builders!$D163&amp;""</f>
        <v/>
      </c>
      <c r="F163" s="29">
        <f>Builders!$E163&amp;""</f>
        <v/>
      </c>
      <c r="G163" s="32">
        <f>IF(LEFT(Builders!$C163,4)="http",HYPERLINK(Builders!$C163,"Open folder"),Builders!$C163&amp;"")</f>
        <v/>
      </c>
    </row>
    <row r="164">
      <c r="A164" s="29">
        <f>Builders!$A164&amp;""</f>
        <v/>
      </c>
      <c r="B164" s="29">
        <f>Builders!$B164&amp;""</f>
        <v/>
      </c>
      <c r="C164" s="31">
        <f>IF($A164="","",COUNTIF(Contacts!$A$2:$A$301,$A164))</f>
        <v/>
      </c>
      <c r="D164" s="31">
        <f>IF($A164="","",IF(COUNTIFS(Contacts!$A$2:$A$301,$A164,Contacts!$H$2:$H$301,"Yes")=0,"",COUNTIFS(Contacts!$A$2:$A$301,$A164,Contacts!$H$2:$H$301,"Yes")))</f>
        <v/>
      </c>
      <c r="E164" s="29">
        <f>Builders!$D164&amp;""</f>
        <v/>
      </c>
      <c r="F164" s="29">
        <f>Builders!$E164&amp;""</f>
        <v/>
      </c>
      <c r="G164" s="32">
        <f>IF(LEFT(Builders!$C164,4)="http",HYPERLINK(Builders!$C164,"Open folder"),Builders!$C164&amp;"")</f>
        <v/>
      </c>
    </row>
    <row r="165">
      <c r="A165" s="29">
        <f>Builders!$A165&amp;""</f>
        <v/>
      </c>
      <c r="B165" s="29">
        <f>Builders!$B165&amp;""</f>
        <v/>
      </c>
      <c r="C165" s="31">
        <f>IF($A165="","",COUNTIF(Contacts!$A$2:$A$301,$A165))</f>
        <v/>
      </c>
      <c r="D165" s="31">
        <f>IF($A165="","",IF(COUNTIFS(Contacts!$A$2:$A$301,$A165,Contacts!$H$2:$H$301,"Yes")=0,"",COUNTIFS(Contacts!$A$2:$A$301,$A165,Contacts!$H$2:$H$301,"Yes")))</f>
        <v/>
      </c>
      <c r="E165" s="29">
        <f>Builders!$D165&amp;""</f>
        <v/>
      </c>
      <c r="F165" s="29">
        <f>Builders!$E165&amp;""</f>
        <v/>
      </c>
      <c r="G165" s="32">
        <f>IF(LEFT(Builders!$C165,4)="http",HYPERLINK(Builders!$C165,"Open folder"),Builders!$C165&amp;"")</f>
        <v/>
      </c>
    </row>
    <row r="166">
      <c r="A166" s="29">
        <f>Builders!$A166&amp;""</f>
        <v/>
      </c>
      <c r="B166" s="29">
        <f>Builders!$B166&amp;""</f>
        <v/>
      </c>
      <c r="C166" s="31">
        <f>IF($A166="","",COUNTIF(Contacts!$A$2:$A$301,$A166))</f>
        <v/>
      </c>
      <c r="D166" s="31">
        <f>IF($A166="","",IF(COUNTIFS(Contacts!$A$2:$A$301,$A166,Contacts!$H$2:$H$301,"Yes")=0,"",COUNTIFS(Contacts!$A$2:$A$301,$A166,Contacts!$H$2:$H$301,"Yes")))</f>
        <v/>
      </c>
      <c r="E166" s="29">
        <f>Builders!$D166&amp;""</f>
        <v/>
      </c>
      <c r="F166" s="29">
        <f>Builders!$E166&amp;""</f>
        <v/>
      </c>
      <c r="G166" s="32">
        <f>IF(LEFT(Builders!$C166,4)="http",HYPERLINK(Builders!$C166,"Open folder"),Builders!$C166&amp;"")</f>
        <v/>
      </c>
    </row>
    <row r="167">
      <c r="A167" s="29">
        <f>Builders!$A167&amp;""</f>
        <v/>
      </c>
      <c r="B167" s="29">
        <f>Builders!$B167&amp;""</f>
        <v/>
      </c>
      <c r="C167" s="31">
        <f>IF($A167="","",COUNTIF(Contacts!$A$2:$A$301,$A167))</f>
        <v/>
      </c>
      <c r="D167" s="31">
        <f>IF($A167="","",IF(COUNTIFS(Contacts!$A$2:$A$301,$A167,Contacts!$H$2:$H$301,"Yes")=0,"",COUNTIFS(Contacts!$A$2:$A$301,$A167,Contacts!$H$2:$H$301,"Yes")))</f>
        <v/>
      </c>
      <c r="E167" s="29">
        <f>Builders!$D167&amp;""</f>
        <v/>
      </c>
      <c r="F167" s="29">
        <f>Builders!$E167&amp;""</f>
        <v/>
      </c>
      <c r="G167" s="32">
        <f>IF(LEFT(Builders!$C167,4)="http",HYPERLINK(Builders!$C167,"Open folder"),Builders!$C167&amp;"")</f>
        <v/>
      </c>
    </row>
    <row r="168">
      <c r="A168" s="29">
        <f>Builders!$A168&amp;""</f>
        <v/>
      </c>
      <c r="B168" s="29">
        <f>Builders!$B168&amp;""</f>
        <v/>
      </c>
      <c r="C168" s="31">
        <f>IF($A168="","",COUNTIF(Contacts!$A$2:$A$301,$A168))</f>
        <v/>
      </c>
      <c r="D168" s="31">
        <f>IF($A168="","",IF(COUNTIFS(Contacts!$A$2:$A$301,$A168,Contacts!$H$2:$H$301,"Yes")=0,"",COUNTIFS(Contacts!$A$2:$A$301,$A168,Contacts!$H$2:$H$301,"Yes")))</f>
        <v/>
      </c>
      <c r="E168" s="29">
        <f>Builders!$D168&amp;""</f>
        <v/>
      </c>
      <c r="F168" s="29">
        <f>Builders!$E168&amp;""</f>
        <v/>
      </c>
      <c r="G168" s="32">
        <f>IF(LEFT(Builders!$C168,4)="http",HYPERLINK(Builders!$C168,"Open folder"),Builders!$C168&amp;"")</f>
        <v/>
      </c>
    </row>
    <row r="169">
      <c r="A169" s="29">
        <f>Builders!$A169&amp;""</f>
        <v/>
      </c>
      <c r="B169" s="29">
        <f>Builders!$B169&amp;""</f>
        <v/>
      </c>
      <c r="C169" s="31">
        <f>IF($A169="","",COUNTIF(Contacts!$A$2:$A$301,$A169))</f>
        <v/>
      </c>
      <c r="D169" s="31">
        <f>IF($A169="","",IF(COUNTIFS(Contacts!$A$2:$A$301,$A169,Contacts!$H$2:$H$301,"Yes")=0,"",COUNTIFS(Contacts!$A$2:$A$301,$A169,Contacts!$H$2:$H$301,"Yes")))</f>
        <v/>
      </c>
      <c r="E169" s="29">
        <f>Builders!$D169&amp;""</f>
        <v/>
      </c>
      <c r="F169" s="29">
        <f>Builders!$E169&amp;""</f>
        <v/>
      </c>
      <c r="G169" s="32">
        <f>IF(LEFT(Builders!$C169,4)="http",HYPERLINK(Builders!$C169,"Open folder"),Builders!$C169&amp;"")</f>
        <v/>
      </c>
    </row>
    <row r="170">
      <c r="A170" s="29">
        <f>Builders!$A170&amp;""</f>
        <v/>
      </c>
      <c r="B170" s="29">
        <f>Builders!$B170&amp;""</f>
        <v/>
      </c>
      <c r="C170" s="31">
        <f>IF($A170="","",COUNTIF(Contacts!$A$2:$A$301,$A170))</f>
        <v/>
      </c>
      <c r="D170" s="31">
        <f>IF($A170="","",IF(COUNTIFS(Contacts!$A$2:$A$301,$A170,Contacts!$H$2:$H$301,"Yes")=0,"",COUNTIFS(Contacts!$A$2:$A$301,$A170,Contacts!$H$2:$H$301,"Yes")))</f>
        <v/>
      </c>
      <c r="E170" s="29">
        <f>Builders!$D170&amp;""</f>
        <v/>
      </c>
      <c r="F170" s="29">
        <f>Builders!$E170&amp;""</f>
        <v/>
      </c>
      <c r="G170" s="32">
        <f>IF(LEFT(Builders!$C170,4)="http",HYPERLINK(Builders!$C170,"Open folder"),Builders!$C170&amp;"")</f>
        <v/>
      </c>
    </row>
    <row r="171">
      <c r="A171" s="29">
        <f>Builders!$A171&amp;""</f>
        <v/>
      </c>
      <c r="B171" s="29">
        <f>Builders!$B171&amp;""</f>
        <v/>
      </c>
      <c r="C171" s="31">
        <f>IF($A171="","",COUNTIF(Contacts!$A$2:$A$301,$A171))</f>
        <v/>
      </c>
      <c r="D171" s="31">
        <f>IF($A171="","",IF(COUNTIFS(Contacts!$A$2:$A$301,$A171,Contacts!$H$2:$H$301,"Yes")=0,"",COUNTIFS(Contacts!$A$2:$A$301,$A171,Contacts!$H$2:$H$301,"Yes")))</f>
        <v/>
      </c>
      <c r="E171" s="29">
        <f>Builders!$D171&amp;""</f>
        <v/>
      </c>
      <c r="F171" s="29">
        <f>Builders!$E171&amp;""</f>
        <v/>
      </c>
      <c r="G171" s="32">
        <f>IF(LEFT(Builders!$C171,4)="http",HYPERLINK(Builders!$C171,"Open folder"),Builders!$C171&amp;"")</f>
        <v/>
      </c>
    </row>
    <row r="172">
      <c r="A172" s="29">
        <f>Builders!$A172&amp;""</f>
        <v/>
      </c>
      <c r="B172" s="29">
        <f>Builders!$B172&amp;""</f>
        <v/>
      </c>
      <c r="C172" s="31">
        <f>IF($A172="","",COUNTIF(Contacts!$A$2:$A$301,$A172))</f>
        <v/>
      </c>
      <c r="D172" s="31">
        <f>IF($A172="","",IF(COUNTIFS(Contacts!$A$2:$A$301,$A172,Contacts!$H$2:$H$301,"Yes")=0,"",COUNTIFS(Contacts!$A$2:$A$301,$A172,Contacts!$H$2:$H$301,"Yes")))</f>
        <v/>
      </c>
      <c r="E172" s="29">
        <f>Builders!$D172&amp;""</f>
        <v/>
      </c>
      <c r="F172" s="29">
        <f>Builders!$E172&amp;""</f>
        <v/>
      </c>
      <c r="G172" s="32">
        <f>IF(LEFT(Builders!$C172,4)="http",HYPERLINK(Builders!$C172,"Open folder"),Builders!$C172&amp;"")</f>
        <v/>
      </c>
    </row>
    <row r="173">
      <c r="A173" s="29">
        <f>Builders!$A173&amp;""</f>
        <v/>
      </c>
      <c r="B173" s="29">
        <f>Builders!$B173&amp;""</f>
        <v/>
      </c>
      <c r="C173" s="31">
        <f>IF($A173="","",COUNTIF(Contacts!$A$2:$A$301,$A173))</f>
        <v/>
      </c>
      <c r="D173" s="31">
        <f>IF($A173="","",IF(COUNTIFS(Contacts!$A$2:$A$301,$A173,Contacts!$H$2:$H$301,"Yes")=0,"",COUNTIFS(Contacts!$A$2:$A$301,$A173,Contacts!$H$2:$H$301,"Yes")))</f>
        <v/>
      </c>
      <c r="E173" s="29">
        <f>Builders!$D173&amp;""</f>
        <v/>
      </c>
      <c r="F173" s="29">
        <f>Builders!$E173&amp;""</f>
        <v/>
      </c>
      <c r="G173" s="32">
        <f>IF(LEFT(Builders!$C173,4)="http",HYPERLINK(Builders!$C173,"Open folder"),Builders!$C173&amp;"")</f>
        <v/>
      </c>
    </row>
    <row r="174">
      <c r="A174" s="29">
        <f>Builders!$A174&amp;""</f>
        <v/>
      </c>
      <c r="B174" s="29">
        <f>Builders!$B174&amp;""</f>
        <v/>
      </c>
      <c r="C174" s="31">
        <f>IF($A174="","",COUNTIF(Contacts!$A$2:$A$301,$A174))</f>
        <v/>
      </c>
      <c r="D174" s="31">
        <f>IF($A174="","",IF(COUNTIFS(Contacts!$A$2:$A$301,$A174,Contacts!$H$2:$H$301,"Yes")=0,"",COUNTIFS(Contacts!$A$2:$A$301,$A174,Contacts!$H$2:$H$301,"Yes")))</f>
        <v/>
      </c>
      <c r="E174" s="29">
        <f>Builders!$D174&amp;""</f>
        <v/>
      </c>
      <c r="F174" s="29">
        <f>Builders!$E174&amp;""</f>
        <v/>
      </c>
      <c r="G174" s="32">
        <f>IF(LEFT(Builders!$C174,4)="http",HYPERLINK(Builders!$C174,"Open folder"),Builders!$C174&amp;"")</f>
        <v/>
      </c>
    </row>
    <row r="175">
      <c r="A175" s="29">
        <f>Builders!$A175&amp;""</f>
        <v/>
      </c>
      <c r="B175" s="29">
        <f>Builders!$B175&amp;""</f>
        <v/>
      </c>
      <c r="C175" s="31">
        <f>IF($A175="","",COUNTIF(Contacts!$A$2:$A$301,$A175))</f>
        <v/>
      </c>
      <c r="D175" s="31">
        <f>IF($A175="","",IF(COUNTIFS(Contacts!$A$2:$A$301,$A175,Contacts!$H$2:$H$301,"Yes")=0,"",COUNTIFS(Contacts!$A$2:$A$301,$A175,Contacts!$H$2:$H$301,"Yes")))</f>
        <v/>
      </c>
      <c r="E175" s="29">
        <f>Builders!$D175&amp;""</f>
        <v/>
      </c>
      <c r="F175" s="29">
        <f>Builders!$E175&amp;""</f>
        <v/>
      </c>
      <c r="G175" s="32">
        <f>IF(LEFT(Builders!$C175,4)="http",HYPERLINK(Builders!$C175,"Open folder"),Builders!$C175&amp;"")</f>
        <v/>
      </c>
    </row>
    <row r="176">
      <c r="A176" s="29">
        <f>Builders!$A176&amp;""</f>
        <v/>
      </c>
      <c r="B176" s="29">
        <f>Builders!$B176&amp;""</f>
        <v/>
      </c>
      <c r="C176" s="31">
        <f>IF($A176="","",COUNTIF(Contacts!$A$2:$A$301,$A176))</f>
        <v/>
      </c>
      <c r="D176" s="31">
        <f>IF($A176="","",IF(COUNTIFS(Contacts!$A$2:$A$301,$A176,Contacts!$H$2:$H$301,"Yes")=0,"",COUNTIFS(Contacts!$A$2:$A$301,$A176,Contacts!$H$2:$H$301,"Yes")))</f>
        <v/>
      </c>
      <c r="E176" s="29">
        <f>Builders!$D176&amp;""</f>
        <v/>
      </c>
      <c r="F176" s="29">
        <f>Builders!$E176&amp;""</f>
        <v/>
      </c>
      <c r="G176" s="32">
        <f>IF(LEFT(Builders!$C176,4)="http",HYPERLINK(Builders!$C176,"Open folder"),Builders!$C176&amp;"")</f>
        <v/>
      </c>
    </row>
    <row r="177">
      <c r="A177" s="29">
        <f>Builders!$A177&amp;""</f>
        <v/>
      </c>
      <c r="B177" s="29">
        <f>Builders!$B177&amp;""</f>
        <v/>
      </c>
      <c r="C177" s="31">
        <f>IF($A177="","",COUNTIF(Contacts!$A$2:$A$301,$A177))</f>
        <v/>
      </c>
      <c r="D177" s="31">
        <f>IF($A177="","",IF(COUNTIFS(Contacts!$A$2:$A$301,$A177,Contacts!$H$2:$H$301,"Yes")=0,"",COUNTIFS(Contacts!$A$2:$A$301,$A177,Contacts!$H$2:$H$301,"Yes")))</f>
        <v/>
      </c>
      <c r="E177" s="29">
        <f>Builders!$D177&amp;""</f>
        <v/>
      </c>
      <c r="F177" s="29">
        <f>Builders!$E177&amp;""</f>
        <v/>
      </c>
      <c r="G177" s="32">
        <f>IF(LEFT(Builders!$C177,4)="http",HYPERLINK(Builders!$C177,"Open folder"),Builders!$C177&amp;"")</f>
        <v/>
      </c>
    </row>
    <row r="178">
      <c r="A178" s="29">
        <f>Builders!$A178&amp;""</f>
        <v/>
      </c>
      <c r="B178" s="29">
        <f>Builders!$B178&amp;""</f>
        <v/>
      </c>
      <c r="C178" s="31">
        <f>IF($A178="","",COUNTIF(Contacts!$A$2:$A$301,$A178))</f>
        <v/>
      </c>
      <c r="D178" s="31">
        <f>IF($A178="","",IF(COUNTIFS(Contacts!$A$2:$A$301,$A178,Contacts!$H$2:$H$301,"Yes")=0,"",COUNTIFS(Contacts!$A$2:$A$301,$A178,Contacts!$H$2:$H$301,"Yes")))</f>
        <v/>
      </c>
      <c r="E178" s="29">
        <f>Builders!$D178&amp;""</f>
        <v/>
      </c>
      <c r="F178" s="29">
        <f>Builders!$E178&amp;""</f>
        <v/>
      </c>
      <c r="G178" s="32">
        <f>IF(LEFT(Builders!$C178,4)="http",HYPERLINK(Builders!$C178,"Open folder"),Builders!$C178&amp;"")</f>
        <v/>
      </c>
    </row>
    <row r="179">
      <c r="A179" s="29">
        <f>Builders!$A179&amp;""</f>
        <v/>
      </c>
      <c r="B179" s="29">
        <f>Builders!$B179&amp;""</f>
        <v/>
      </c>
      <c r="C179" s="31">
        <f>IF($A179="","",COUNTIF(Contacts!$A$2:$A$301,$A179))</f>
        <v/>
      </c>
      <c r="D179" s="31">
        <f>IF($A179="","",IF(COUNTIFS(Contacts!$A$2:$A$301,$A179,Contacts!$H$2:$H$301,"Yes")=0,"",COUNTIFS(Contacts!$A$2:$A$301,$A179,Contacts!$H$2:$H$301,"Yes")))</f>
        <v/>
      </c>
      <c r="E179" s="29">
        <f>Builders!$D179&amp;""</f>
        <v/>
      </c>
      <c r="F179" s="29">
        <f>Builders!$E179&amp;""</f>
        <v/>
      </c>
      <c r="G179" s="32">
        <f>IF(LEFT(Builders!$C179,4)="http",HYPERLINK(Builders!$C179,"Open folder"),Builders!$C179&amp;"")</f>
        <v/>
      </c>
    </row>
    <row r="180">
      <c r="A180" s="29">
        <f>Builders!$A180&amp;""</f>
        <v/>
      </c>
      <c r="B180" s="29">
        <f>Builders!$B180&amp;""</f>
        <v/>
      </c>
      <c r="C180" s="31">
        <f>IF($A180="","",COUNTIF(Contacts!$A$2:$A$301,$A180))</f>
        <v/>
      </c>
      <c r="D180" s="31">
        <f>IF($A180="","",IF(COUNTIFS(Contacts!$A$2:$A$301,$A180,Contacts!$H$2:$H$301,"Yes")=0,"",COUNTIFS(Contacts!$A$2:$A$301,$A180,Contacts!$H$2:$H$301,"Yes")))</f>
        <v/>
      </c>
      <c r="E180" s="29">
        <f>Builders!$D180&amp;""</f>
        <v/>
      </c>
      <c r="F180" s="29">
        <f>Builders!$E180&amp;""</f>
        <v/>
      </c>
      <c r="G180" s="32">
        <f>IF(LEFT(Builders!$C180,4)="http",HYPERLINK(Builders!$C180,"Open folder"),Builders!$C180&amp;"")</f>
        <v/>
      </c>
    </row>
    <row r="181">
      <c r="A181" s="29">
        <f>Builders!$A181&amp;""</f>
        <v/>
      </c>
      <c r="B181" s="29">
        <f>Builders!$B181&amp;""</f>
        <v/>
      </c>
      <c r="C181" s="31">
        <f>IF($A181="","",COUNTIF(Contacts!$A$2:$A$301,$A181))</f>
        <v/>
      </c>
      <c r="D181" s="31">
        <f>IF($A181="","",IF(COUNTIFS(Contacts!$A$2:$A$301,$A181,Contacts!$H$2:$H$301,"Yes")=0,"",COUNTIFS(Contacts!$A$2:$A$301,$A181,Contacts!$H$2:$H$301,"Yes")))</f>
        <v/>
      </c>
      <c r="E181" s="29">
        <f>Builders!$D181&amp;""</f>
        <v/>
      </c>
      <c r="F181" s="29">
        <f>Builders!$E181&amp;""</f>
        <v/>
      </c>
      <c r="G181" s="32">
        <f>IF(LEFT(Builders!$C181,4)="http",HYPERLINK(Builders!$C181,"Open folder"),Builders!$C181&amp;"")</f>
        <v/>
      </c>
    </row>
    <row r="182">
      <c r="A182" s="29">
        <f>Builders!$A182&amp;""</f>
        <v/>
      </c>
      <c r="B182" s="29">
        <f>Builders!$B182&amp;""</f>
        <v/>
      </c>
      <c r="C182" s="31">
        <f>IF($A182="","",COUNTIF(Contacts!$A$2:$A$301,$A182))</f>
        <v/>
      </c>
      <c r="D182" s="31">
        <f>IF($A182="","",IF(COUNTIFS(Contacts!$A$2:$A$301,$A182,Contacts!$H$2:$H$301,"Yes")=0,"",COUNTIFS(Contacts!$A$2:$A$301,$A182,Contacts!$H$2:$H$301,"Yes")))</f>
        <v/>
      </c>
      <c r="E182" s="29">
        <f>Builders!$D182&amp;""</f>
        <v/>
      </c>
      <c r="F182" s="29">
        <f>Builders!$E182&amp;""</f>
        <v/>
      </c>
      <c r="G182" s="32">
        <f>IF(LEFT(Builders!$C182,4)="http",HYPERLINK(Builders!$C182,"Open folder"),Builders!$C182&amp;"")</f>
        <v/>
      </c>
    </row>
    <row r="183">
      <c r="A183" s="29">
        <f>Builders!$A183&amp;""</f>
        <v/>
      </c>
      <c r="B183" s="29">
        <f>Builders!$B183&amp;""</f>
        <v/>
      </c>
      <c r="C183" s="31">
        <f>IF($A183="","",COUNTIF(Contacts!$A$2:$A$301,$A183))</f>
        <v/>
      </c>
      <c r="D183" s="31">
        <f>IF($A183="","",IF(COUNTIFS(Contacts!$A$2:$A$301,$A183,Contacts!$H$2:$H$301,"Yes")=0,"",COUNTIFS(Contacts!$A$2:$A$301,$A183,Contacts!$H$2:$H$301,"Yes")))</f>
        <v/>
      </c>
      <c r="E183" s="29">
        <f>Builders!$D183&amp;""</f>
        <v/>
      </c>
      <c r="F183" s="29">
        <f>Builders!$E183&amp;""</f>
        <v/>
      </c>
      <c r="G183" s="32">
        <f>IF(LEFT(Builders!$C183,4)="http",HYPERLINK(Builders!$C183,"Open folder"),Builders!$C183&amp;"")</f>
        <v/>
      </c>
    </row>
    <row r="184">
      <c r="A184" s="29">
        <f>Builders!$A184&amp;""</f>
        <v/>
      </c>
      <c r="B184" s="29">
        <f>Builders!$B184&amp;""</f>
        <v/>
      </c>
      <c r="C184" s="31">
        <f>IF($A184="","",COUNTIF(Contacts!$A$2:$A$301,$A184))</f>
        <v/>
      </c>
      <c r="D184" s="31">
        <f>IF($A184="","",IF(COUNTIFS(Contacts!$A$2:$A$301,$A184,Contacts!$H$2:$H$301,"Yes")=0,"",COUNTIFS(Contacts!$A$2:$A$301,$A184,Contacts!$H$2:$H$301,"Yes")))</f>
        <v/>
      </c>
      <c r="E184" s="29">
        <f>Builders!$D184&amp;""</f>
        <v/>
      </c>
      <c r="F184" s="29">
        <f>Builders!$E184&amp;""</f>
        <v/>
      </c>
      <c r="G184" s="32">
        <f>IF(LEFT(Builders!$C184,4)="http",HYPERLINK(Builders!$C184,"Open folder"),Builders!$C184&amp;"")</f>
        <v/>
      </c>
    </row>
    <row r="185">
      <c r="A185" s="29">
        <f>Builders!$A185&amp;""</f>
        <v/>
      </c>
      <c r="B185" s="29">
        <f>Builders!$B185&amp;""</f>
        <v/>
      </c>
      <c r="C185" s="31">
        <f>IF($A185="","",COUNTIF(Contacts!$A$2:$A$301,$A185))</f>
        <v/>
      </c>
      <c r="D185" s="31">
        <f>IF($A185="","",IF(COUNTIFS(Contacts!$A$2:$A$301,$A185,Contacts!$H$2:$H$301,"Yes")=0,"",COUNTIFS(Contacts!$A$2:$A$301,$A185,Contacts!$H$2:$H$301,"Yes")))</f>
        <v/>
      </c>
      <c r="E185" s="29">
        <f>Builders!$D185&amp;""</f>
        <v/>
      </c>
      <c r="F185" s="29">
        <f>Builders!$E185&amp;""</f>
        <v/>
      </c>
      <c r="G185" s="32">
        <f>IF(LEFT(Builders!$C185,4)="http",HYPERLINK(Builders!$C185,"Open folder"),Builders!$C185&amp;"")</f>
        <v/>
      </c>
    </row>
    <row r="186">
      <c r="A186" s="29">
        <f>Builders!$A186&amp;""</f>
        <v/>
      </c>
      <c r="B186" s="29">
        <f>Builders!$B186&amp;""</f>
        <v/>
      </c>
      <c r="C186" s="31">
        <f>IF($A186="","",COUNTIF(Contacts!$A$2:$A$301,$A186))</f>
        <v/>
      </c>
      <c r="D186" s="31">
        <f>IF($A186="","",IF(COUNTIFS(Contacts!$A$2:$A$301,$A186,Contacts!$H$2:$H$301,"Yes")=0,"",COUNTIFS(Contacts!$A$2:$A$301,$A186,Contacts!$H$2:$H$301,"Yes")))</f>
        <v/>
      </c>
      <c r="E186" s="29">
        <f>Builders!$D186&amp;""</f>
        <v/>
      </c>
      <c r="F186" s="29">
        <f>Builders!$E186&amp;""</f>
        <v/>
      </c>
      <c r="G186" s="32">
        <f>IF(LEFT(Builders!$C186,4)="http",HYPERLINK(Builders!$C186,"Open folder"),Builders!$C186&amp;"")</f>
        <v/>
      </c>
    </row>
    <row r="187">
      <c r="A187" s="29">
        <f>Builders!$A187&amp;""</f>
        <v/>
      </c>
      <c r="B187" s="29">
        <f>Builders!$B187&amp;""</f>
        <v/>
      </c>
      <c r="C187" s="31">
        <f>IF($A187="","",COUNTIF(Contacts!$A$2:$A$301,$A187))</f>
        <v/>
      </c>
      <c r="D187" s="31">
        <f>IF($A187="","",IF(COUNTIFS(Contacts!$A$2:$A$301,$A187,Contacts!$H$2:$H$301,"Yes")=0,"",COUNTIFS(Contacts!$A$2:$A$301,$A187,Contacts!$H$2:$H$301,"Yes")))</f>
        <v/>
      </c>
      <c r="E187" s="29">
        <f>Builders!$D187&amp;""</f>
        <v/>
      </c>
      <c r="F187" s="29">
        <f>Builders!$E187&amp;""</f>
        <v/>
      </c>
      <c r="G187" s="32">
        <f>IF(LEFT(Builders!$C187,4)="http",HYPERLINK(Builders!$C187,"Open folder"),Builders!$C187&amp;"")</f>
        <v/>
      </c>
    </row>
    <row r="188">
      <c r="A188" s="29">
        <f>Builders!$A188&amp;""</f>
        <v/>
      </c>
      <c r="B188" s="29">
        <f>Builders!$B188&amp;""</f>
        <v/>
      </c>
      <c r="C188" s="31">
        <f>IF($A188="","",COUNTIF(Contacts!$A$2:$A$301,$A188))</f>
        <v/>
      </c>
      <c r="D188" s="31">
        <f>IF($A188="","",IF(COUNTIFS(Contacts!$A$2:$A$301,$A188,Contacts!$H$2:$H$301,"Yes")=0,"",COUNTIFS(Contacts!$A$2:$A$301,$A188,Contacts!$H$2:$H$301,"Yes")))</f>
        <v/>
      </c>
      <c r="E188" s="29">
        <f>Builders!$D188&amp;""</f>
        <v/>
      </c>
      <c r="F188" s="29">
        <f>Builders!$E188&amp;""</f>
        <v/>
      </c>
      <c r="G188" s="32">
        <f>IF(LEFT(Builders!$C188,4)="http",HYPERLINK(Builders!$C188,"Open folder"),Builders!$C188&amp;"")</f>
        <v/>
      </c>
    </row>
    <row r="189">
      <c r="A189" s="29">
        <f>Builders!$A189&amp;""</f>
        <v/>
      </c>
      <c r="B189" s="29">
        <f>Builders!$B189&amp;""</f>
        <v/>
      </c>
      <c r="C189" s="31">
        <f>IF($A189="","",COUNTIF(Contacts!$A$2:$A$301,$A189))</f>
        <v/>
      </c>
      <c r="D189" s="31">
        <f>IF($A189="","",IF(COUNTIFS(Contacts!$A$2:$A$301,$A189,Contacts!$H$2:$H$301,"Yes")=0,"",COUNTIFS(Contacts!$A$2:$A$301,$A189,Contacts!$H$2:$H$301,"Yes")))</f>
        <v/>
      </c>
      <c r="E189" s="29">
        <f>Builders!$D189&amp;""</f>
        <v/>
      </c>
      <c r="F189" s="29">
        <f>Builders!$E189&amp;""</f>
        <v/>
      </c>
      <c r="G189" s="32">
        <f>IF(LEFT(Builders!$C189,4)="http",HYPERLINK(Builders!$C189,"Open folder"),Builders!$C189&amp;"")</f>
        <v/>
      </c>
    </row>
    <row r="190">
      <c r="A190" s="29">
        <f>Builders!$A190&amp;""</f>
        <v/>
      </c>
      <c r="B190" s="29">
        <f>Builders!$B190&amp;""</f>
        <v/>
      </c>
      <c r="C190" s="31">
        <f>IF($A190="","",COUNTIF(Contacts!$A$2:$A$301,$A190))</f>
        <v/>
      </c>
      <c r="D190" s="31">
        <f>IF($A190="","",IF(COUNTIFS(Contacts!$A$2:$A$301,$A190,Contacts!$H$2:$H$301,"Yes")=0,"",COUNTIFS(Contacts!$A$2:$A$301,$A190,Contacts!$H$2:$H$301,"Yes")))</f>
        <v/>
      </c>
      <c r="E190" s="29">
        <f>Builders!$D190&amp;""</f>
        <v/>
      </c>
      <c r="F190" s="29">
        <f>Builders!$E190&amp;""</f>
        <v/>
      </c>
      <c r="G190" s="32">
        <f>IF(LEFT(Builders!$C190,4)="http",HYPERLINK(Builders!$C190,"Open folder"),Builders!$C190&amp;"")</f>
        <v/>
      </c>
    </row>
    <row r="191">
      <c r="A191" s="29">
        <f>Builders!$A191&amp;""</f>
        <v/>
      </c>
      <c r="B191" s="29">
        <f>Builders!$B191&amp;""</f>
        <v/>
      </c>
      <c r="C191" s="31">
        <f>IF($A191="","",COUNTIF(Contacts!$A$2:$A$301,$A191))</f>
        <v/>
      </c>
      <c r="D191" s="31">
        <f>IF($A191="","",IF(COUNTIFS(Contacts!$A$2:$A$301,$A191,Contacts!$H$2:$H$301,"Yes")=0,"",COUNTIFS(Contacts!$A$2:$A$301,$A191,Contacts!$H$2:$H$301,"Yes")))</f>
        <v/>
      </c>
      <c r="E191" s="29">
        <f>Builders!$D191&amp;""</f>
        <v/>
      </c>
      <c r="F191" s="29">
        <f>Builders!$E191&amp;""</f>
        <v/>
      </c>
      <c r="G191" s="32">
        <f>IF(LEFT(Builders!$C191,4)="http",HYPERLINK(Builders!$C191,"Open folder"),Builders!$C191&amp;"")</f>
        <v/>
      </c>
    </row>
    <row r="192">
      <c r="A192" s="29">
        <f>Builders!$A192&amp;""</f>
        <v/>
      </c>
      <c r="B192" s="29">
        <f>Builders!$B192&amp;""</f>
        <v/>
      </c>
      <c r="C192" s="31">
        <f>IF($A192="","",COUNTIF(Contacts!$A$2:$A$301,$A192))</f>
        <v/>
      </c>
      <c r="D192" s="31">
        <f>IF($A192="","",IF(COUNTIFS(Contacts!$A$2:$A$301,$A192,Contacts!$H$2:$H$301,"Yes")=0,"",COUNTIFS(Contacts!$A$2:$A$301,$A192,Contacts!$H$2:$H$301,"Yes")))</f>
        <v/>
      </c>
      <c r="E192" s="29">
        <f>Builders!$D192&amp;""</f>
        <v/>
      </c>
      <c r="F192" s="29">
        <f>Builders!$E192&amp;""</f>
        <v/>
      </c>
      <c r="G192" s="32">
        <f>IF(LEFT(Builders!$C192,4)="http",HYPERLINK(Builders!$C192,"Open folder"),Builders!$C192&amp;"")</f>
        <v/>
      </c>
    </row>
    <row r="193">
      <c r="A193" s="29">
        <f>Builders!$A193&amp;""</f>
        <v/>
      </c>
      <c r="B193" s="29">
        <f>Builders!$B193&amp;""</f>
        <v/>
      </c>
      <c r="C193" s="31">
        <f>IF($A193="","",COUNTIF(Contacts!$A$2:$A$301,$A193))</f>
        <v/>
      </c>
      <c r="D193" s="31">
        <f>IF($A193="","",IF(COUNTIFS(Contacts!$A$2:$A$301,$A193,Contacts!$H$2:$H$301,"Yes")=0,"",COUNTIFS(Contacts!$A$2:$A$301,$A193,Contacts!$H$2:$H$301,"Yes")))</f>
        <v/>
      </c>
      <c r="E193" s="29">
        <f>Builders!$D193&amp;""</f>
        <v/>
      </c>
      <c r="F193" s="29">
        <f>Builders!$E193&amp;""</f>
        <v/>
      </c>
      <c r="G193" s="32">
        <f>IF(LEFT(Builders!$C193,4)="http",HYPERLINK(Builders!$C193,"Open folder"),Builders!$C193&amp;"")</f>
        <v/>
      </c>
    </row>
    <row r="194">
      <c r="A194" s="29">
        <f>Builders!$A194&amp;""</f>
        <v/>
      </c>
      <c r="B194" s="29">
        <f>Builders!$B194&amp;""</f>
        <v/>
      </c>
      <c r="C194" s="31">
        <f>IF($A194="","",COUNTIF(Contacts!$A$2:$A$301,$A194))</f>
        <v/>
      </c>
      <c r="D194" s="31">
        <f>IF($A194="","",IF(COUNTIFS(Contacts!$A$2:$A$301,$A194,Contacts!$H$2:$H$301,"Yes")=0,"",COUNTIFS(Contacts!$A$2:$A$301,$A194,Contacts!$H$2:$H$301,"Yes")))</f>
        <v/>
      </c>
      <c r="E194" s="29">
        <f>Builders!$D194&amp;""</f>
        <v/>
      </c>
      <c r="F194" s="29">
        <f>Builders!$E194&amp;""</f>
        <v/>
      </c>
      <c r="G194" s="32">
        <f>IF(LEFT(Builders!$C194,4)="http",HYPERLINK(Builders!$C194,"Open folder"),Builders!$C194&amp;"")</f>
        <v/>
      </c>
    </row>
    <row r="195">
      <c r="A195" s="29">
        <f>Builders!$A195&amp;""</f>
        <v/>
      </c>
      <c r="B195" s="29">
        <f>Builders!$B195&amp;""</f>
        <v/>
      </c>
      <c r="C195" s="31">
        <f>IF($A195="","",COUNTIF(Contacts!$A$2:$A$301,$A195))</f>
        <v/>
      </c>
      <c r="D195" s="31">
        <f>IF($A195="","",IF(COUNTIFS(Contacts!$A$2:$A$301,$A195,Contacts!$H$2:$H$301,"Yes")=0,"",COUNTIFS(Contacts!$A$2:$A$301,$A195,Contacts!$H$2:$H$301,"Yes")))</f>
        <v/>
      </c>
      <c r="E195" s="29">
        <f>Builders!$D195&amp;""</f>
        <v/>
      </c>
      <c r="F195" s="29">
        <f>Builders!$E195&amp;""</f>
        <v/>
      </c>
      <c r="G195" s="32">
        <f>IF(LEFT(Builders!$C195,4)="http",HYPERLINK(Builders!$C195,"Open folder"),Builders!$C195&amp;"")</f>
        <v/>
      </c>
    </row>
    <row r="196">
      <c r="A196" s="29">
        <f>Builders!$A196&amp;""</f>
        <v/>
      </c>
      <c r="B196" s="29">
        <f>Builders!$B196&amp;""</f>
        <v/>
      </c>
      <c r="C196" s="31">
        <f>IF($A196="","",COUNTIF(Contacts!$A$2:$A$301,$A196))</f>
        <v/>
      </c>
      <c r="D196" s="31">
        <f>IF($A196="","",IF(COUNTIFS(Contacts!$A$2:$A$301,$A196,Contacts!$H$2:$H$301,"Yes")=0,"",COUNTIFS(Contacts!$A$2:$A$301,$A196,Contacts!$H$2:$H$301,"Yes")))</f>
        <v/>
      </c>
      <c r="E196" s="29">
        <f>Builders!$D196&amp;""</f>
        <v/>
      </c>
      <c r="F196" s="29">
        <f>Builders!$E196&amp;""</f>
        <v/>
      </c>
      <c r="G196" s="32">
        <f>IF(LEFT(Builders!$C196,4)="http",HYPERLINK(Builders!$C196,"Open folder"),Builders!$C196&amp;"")</f>
        <v/>
      </c>
    </row>
    <row r="197">
      <c r="A197" s="29">
        <f>Builders!$A197&amp;""</f>
        <v/>
      </c>
      <c r="B197" s="29">
        <f>Builders!$B197&amp;""</f>
        <v/>
      </c>
      <c r="C197" s="31">
        <f>IF($A197="","",COUNTIF(Contacts!$A$2:$A$301,$A197))</f>
        <v/>
      </c>
      <c r="D197" s="31">
        <f>IF($A197="","",IF(COUNTIFS(Contacts!$A$2:$A$301,$A197,Contacts!$H$2:$H$301,"Yes")=0,"",COUNTIFS(Contacts!$A$2:$A$301,$A197,Contacts!$H$2:$H$301,"Yes")))</f>
        <v/>
      </c>
      <c r="E197" s="29">
        <f>Builders!$D197&amp;""</f>
        <v/>
      </c>
      <c r="F197" s="29">
        <f>Builders!$E197&amp;""</f>
        <v/>
      </c>
      <c r="G197" s="32">
        <f>IF(LEFT(Builders!$C197,4)="http",HYPERLINK(Builders!$C197,"Open folder"),Builders!$C197&amp;"")</f>
        <v/>
      </c>
    </row>
    <row r="198">
      <c r="A198" s="29">
        <f>Builders!$A198&amp;""</f>
        <v/>
      </c>
      <c r="B198" s="29">
        <f>Builders!$B198&amp;""</f>
        <v/>
      </c>
      <c r="C198" s="31">
        <f>IF($A198="","",COUNTIF(Contacts!$A$2:$A$301,$A198))</f>
        <v/>
      </c>
      <c r="D198" s="31">
        <f>IF($A198="","",IF(COUNTIFS(Contacts!$A$2:$A$301,$A198,Contacts!$H$2:$H$301,"Yes")=0,"",COUNTIFS(Contacts!$A$2:$A$301,$A198,Contacts!$H$2:$H$301,"Yes")))</f>
        <v/>
      </c>
      <c r="E198" s="29">
        <f>Builders!$D198&amp;""</f>
        <v/>
      </c>
      <c r="F198" s="29">
        <f>Builders!$E198&amp;""</f>
        <v/>
      </c>
      <c r="G198" s="32">
        <f>IF(LEFT(Builders!$C198,4)="http",HYPERLINK(Builders!$C198,"Open folder"),Builders!$C198&amp;"")</f>
        <v/>
      </c>
    </row>
    <row r="199">
      <c r="A199" s="29">
        <f>Builders!$A199&amp;""</f>
        <v/>
      </c>
      <c r="B199" s="29">
        <f>Builders!$B199&amp;""</f>
        <v/>
      </c>
      <c r="C199" s="31">
        <f>IF($A199="","",COUNTIF(Contacts!$A$2:$A$301,$A199))</f>
        <v/>
      </c>
      <c r="D199" s="31">
        <f>IF($A199="","",IF(COUNTIFS(Contacts!$A$2:$A$301,$A199,Contacts!$H$2:$H$301,"Yes")=0,"",COUNTIFS(Contacts!$A$2:$A$301,$A199,Contacts!$H$2:$H$301,"Yes")))</f>
        <v/>
      </c>
      <c r="E199" s="29">
        <f>Builders!$D199&amp;""</f>
        <v/>
      </c>
      <c r="F199" s="29">
        <f>Builders!$E199&amp;""</f>
        <v/>
      </c>
      <c r="G199" s="32">
        <f>IF(LEFT(Builders!$C199,4)="http",HYPERLINK(Builders!$C199,"Open folder"),Builders!$C199&amp;"")</f>
        <v/>
      </c>
    </row>
    <row r="200">
      <c r="A200" s="29">
        <f>Builders!$A200&amp;""</f>
        <v/>
      </c>
      <c r="B200" s="29">
        <f>Builders!$B200&amp;""</f>
        <v/>
      </c>
      <c r="C200" s="31">
        <f>IF($A200="","",COUNTIF(Contacts!$A$2:$A$301,$A200))</f>
        <v/>
      </c>
      <c r="D200" s="31">
        <f>IF($A200="","",IF(COUNTIFS(Contacts!$A$2:$A$301,$A200,Contacts!$H$2:$H$301,"Yes")=0,"",COUNTIFS(Contacts!$A$2:$A$301,$A200,Contacts!$H$2:$H$301,"Yes")))</f>
        <v/>
      </c>
      <c r="E200" s="29">
        <f>Builders!$D200&amp;""</f>
        <v/>
      </c>
      <c r="F200" s="29">
        <f>Builders!$E200&amp;""</f>
        <v/>
      </c>
      <c r="G200" s="32">
        <f>IF(LEFT(Builders!$C200,4)="http",HYPERLINK(Builders!$C200,"Open folder"),Builders!$C200&amp;"")</f>
        <v/>
      </c>
    </row>
    <row r="201">
      <c r="A201" s="29">
        <f>Builders!$A201&amp;""</f>
        <v/>
      </c>
      <c r="B201" s="29">
        <f>Builders!$B201&amp;""</f>
        <v/>
      </c>
      <c r="C201" s="31">
        <f>IF($A201="","",COUNTIF(Contacts!$A$2:$A$301,$A201))</f>
        <v/>
      </c>
      <c r="D201" s="31">
        <f>IF($A201="","",IF(COUNTIFS(Contacts!$A$2:$A$301,$A201,Contacts!$H$2:$H$301,"Yes")=0,"",COUNTIFS(Contacts!$A$2:$A$301,$A201,Contacts!$H$2:$H$301,"Yes")))</f>
        <v/>
      </c>
      <c r="E201" s="29">
        <f>Builders!$D201&amp;""</f>
        <v/>
      </c>
      <c r="F201" s="29">
        <f>Builders!$E201&amp;""</f>
        <v/>
      </c>
      <c r="G201" s="32">
        <f>IF(LEFT(Builders!$C201,4)="http",HYPERLINK(Builders!$C201,"Open folder"),Builders!$C201&amp;"")</f>
        <v/>
      </c>
    </row>
  </sheetData>
  <sheetProtection selectLockedCells="0" selectUnlockedCells="0" sheet="1" objects="0" insertRows="1" insertHyperlinks="1" autoFilter="0" scenarios="0" formatColumns="0" deleteColumns="1" insertColumns="1" pivotTables="1" deleteRows="1" formatCells="1" formatRows="0" sort="1"/>
  <autoFilter ref="A1:G201"/>
  <conditionalFormatting sqref="A2:G201">
    <cfRule type="expression" priority="10" dxfId="0">
      <formula>AND(MOD(ROW(),2)=0,$A2&lt;&gt;"")</formula>
    </cfRule>
  </conditionalFormatting>
  <printOptions gridLines="1"/>
  <pageMargins left="0.4" right="0.4" top="0.5" bottom="0.5" header="0.5" footer="0.5"/>
  <pageSetup orientation="portrait" paperSize="1" fitToHeight="0" fitToWidth="1"/>
  <headerFooter>
    <oddHeader/>
    <oddFooter>&amp;L&amp;A&amp;RPage &amp;P of &amp;N</oddFooter>
    <evenHeader/>
    <evenFooter/>
    <firstHeader/>
    <firstFooter/>
  </headerFooter>
</worksheet>
</file>

<file path=xl/worksheets/sheet4.xml><?xml version="1.0" encoding="utf-8"?>
<worksheet xmlns="http://schemas.openxmlformats.org/spreadsheetml/2006/main">
  <sheetPr>
    <tabColor rgb="005B8A6A"/>
    <outlinePr summaryBelow="1" summaryRight="1"/>
    <pageSetUpPr fitToPage="1"/>
  </sheetPr>
  <dimension ref="A1:I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40" customWidth="1" min="3" max="3"/>
    <col width="16" customWidth="1" min="4" max="4"/>
    <col width="22" customWidth="1" min="5" max="5"/>
    <col width="60" customWidth="1" min="6" max="6"/>
    <col width="45" customWidth="1" min="7" max="7"/>
    <col width="60" customWidth="1" min="8" max="8"/>
    <col width="34" customWidth="1" min="9" max="9"/>
  </cols>
  <sheetData>
    <row r="1" ht="30" customHeight="1">
      <c r="A1" s="27" t="inlineStr">
        <is>
          <t>Builder name</t>
        </is>
      </c>
      <c r="B1" s="27" t="inlineStr">
        <is>
          <t>Title company</t>
        </is>
      </c>
      <c r="C1" s="27" t="inlineStr">
        <is>
          <t>Dropbox folder</t>
        </is>
      </c>
      <c r="D1" s="27" t="inlineStr">
        <is>
          <t>Concession amount or %</t>
        </is>
      </c>
      <c r="E1" s="27" t="inlineStr">
        <is>
          <t>Concessions calculated from</t>
        </is>
      </c>
      <c r="F1" s="27" t="inlineStr">
        <is>
          <t>Allowed uses and concession details</t>
        </is>
      </c>
      <c r="G1" s="27" t="inlineStr">
        <is>
          <t>Special process and incentives</t>
        </is>
      </c>
      <c r="H1" s="27" t="inlineStr">
        <is>
          <t>Communication rules (who to CC)</t>
        </is>
      </c>
      <c r="I1" s="27" t="inlineStr">
        <is>
          <t>General notes</t>
        </is>
      </c>
    </row>
    <row r="2">
      <c r="A2" s="29" t="n"/>
      <c r="B2" s="29" t="n"/>
      <c r="C2" s="29" t="n"/>
      <c r="D2" s="34" t="n"/>
      <c r="E2" s="29" t="n"/>
      <c r="F2" s="6" t="n"/>
      <c r="G2" s="6" t="n"/>
      <c r="H2" s="6" t="n"/>
      <c r="I2" s="6" t="n"/>
    </row>
    <row r="3">
      <c r="A3" s="29" t="n"/>
      <c r="B3" s="29" t="n"/>
      <c r="C3" s="29" t="n"/>
      <c r="D3" s="34" t="n"/>
      <c r="E3" s="29" t="n"/>
      <c r="F3" s="6" t="n"/>
      <c r="G3" s="6" t="n"/>
      <c r="H3" s="6" t="n"/>
      <c r="I3" s="6" t="n"/>
    </row>
    <row r="4">
      <c r="A4" s="29" t="n"/>
      <c r="B4" s="29" t="n"/>
      <c r="C4" s="29" t="n"/>
      <c r="D4" s="34" t="n"/>
      <c r="E4" s="29" t="n"/>
      <c r="F4" s="6" t="n"/>
      <c r="G4" s="6" t="n"/>
      <c r="H4" s="6" t="n"/>
      <c r="I4" s="6" t="n"/>
    </row>
    <row r="5">
      <c r="A5" s="29" t="n"/>
      <c r="B5" s="29" t="n"/>
      <c r="C5" s="29" t="n"/>
      <c r="D5" s="34" t="n"/>
      <c r="E5" s="29" t="n"/>
      <c r="F5" s="6" t="n"/>
      <c r="G5" s="6" t="n"/>
      <c r="H5" s="6" t="n"/>
      <c r="I5" s="6" t="n"/>
    </row>
    <row r="6">
      <c r="A6" s="29" t="n"/>
      <c r="B6" s="29" t="n"/>
      <c r="C6" s="29" t="n"/>
      <c r="D6" s="34" t="n"/>
      <c r="E6" s="29" t="n"/>
      <c r="F6" s="6" t="n"/>
      <c r="G6" s="6" t="n"/>
      <c r="H6" s="6" t="n"/>
      <c r="I6" s="6" t="n"/>
    </row>
    <row r="7">
      <c r="A7" s="29" t="n"/>
      <c r="B7" s="29" t="n"/>
      <c r="C7" s="29" t="n"/>
      <c r="D7" s="34" t="n"/>
      <c r="E7" s="29" t="n"/>
      <c r="F7" s="6" t="n"/>
      <c r="G7" s="6" t="n"/>
      <c r="H7" s="6" t="n"/>
      <c r="I7" s="6" t="n"/>
    </row>
    <row r="8">
      <c r="A8" s="29" t="n"/>
      <c r="B8" s="29" t="n"/>
      <c r="C8" s="29" t="n"/>
      <c r="D8" s="34" t="n"/>
      <c r="E8" s="29" t="n"/>
      <c r="F8" s="6" t="n"/>
      <c r="G8" s="6" t="n"/>
      <c r="H8" s="6" t="n"/>
      <c r="I8" s="6" t="n"/>
    </row>
    <row r="9">
      <c r="A9" s="29" t="n"/>
      <c r="B9" s="29" t="n"/>
      <c r="C9" s="29" t="n"/>
      <c r="D9" s="34" t="n"/>
      <c r="E9" s="29" t="n"/>
      <c r="F9" s="6" t="n"/>
      <c r="G9" s="6" t="n"/>
      <c r="H9" s="6" t="n"/>
      <c r="I9" s="6" t="n"/>
    </row>
    <row r="10">
      <c r="A10" s="29" t="n"/>
      <c r="B10" s="29" t="n"/>
      <c r="C10" s="29" t="n"/>
      <c r="D10" s="34" t="n"/>
      <c r="E10" s="29" t="n"/>
      <c r="F10" s="6" t="n"/>
      <c r="G10" s="6" t="n"/>
      <c r="H10" s="6" t="n"/>
      <c r="I10" s="6" t="n"/>
    </row>
    <row r="11">
      <c r="A11" s="29" t="n"/>
      <c r="B11" s="29" t="n"/>
      <c r="C11" s="29" t="n"/>
      <c r="D11" s="34" t="n"/>
      <c r="E11" s="29" t="n"/>
      <c r="F11" s="6" t="n"/>
      <c r="G11" s="6" t="n"/>
      <c r="H11" s="6" t="n"/>
      <c r="I11" s="6" t="n"/>
    </row>
    <row r="12">
      <c r="A12" s="29" t="n"/>
      <c r="B12" s="29" t="n"/>
      <c r="C12" s="29" t="n"/>
      <c r="D12" s="34" t="n"/>
      <c r="E12" s="29" t="n"/>
      <c r="F12" s="6" t="n"/>
      <c r="G12" s="6" t="n"/>
      <c r="H12" s="6" t="n"/>
      <c r="I12" s="6" t="n"/>
    </row>
    <row r="13">
      <c r="A13" s="29" t="n"/>
      <c r="B13" s="29" t="n"/>
      <c r="C13" s="29" t="n"/>
      <c r="D13" s="34" t="n"/>
      <c r="E13" s="29" t="n"/>
      <c r="F13" s="6" t="n"/>
      <c r="G13" s="6" t="n"/>
      <c r="H13" s="6" t="n"/>
      <c r="I13" s="6" t="n"/>
    </row>
    <row r="14">
      <c r="A14" s="29" t="n"/>
      <c r="B14" s="29" t="n"/>
      <c r="C14" s="29" t="n"/>
      <c r="D14" s="34" t="n"/>
      <c r="E14" s="29" t="n"/>
      <c r="F14" s="6" t="n"/>
      <c r="G14" s="6" t="n"/>
      <c r="H14" s="6" t="n"/>
      <c r="I14" s="6" t="n"/>
    </row>
    <row r="15">
      <c r="A15" s="29" t="n"/>
      <c r="B15" s="29" t="n"/>
      <c r="C15" s="29" t="n"/>
      <c r="D15" s="34" t="n"/>
      <c r="E15" s="29" t="n"/>
      <c r="F15" s="6" t="n"/>
      <c r="G15" s="6" t="n"/>
      <c r="H15" s="6" t="n"/>
      <c r="I15" s="6" t="n"/>
    </row>
    <row r="16">
      <c r="A16" s="29" t="n"/>
      <c r="B16" s="29" t="n"/>
      <c r="C16" s="29" t="n"/>
      <c r="D16" s="34" t="n"/>
      <c r="E16" s="29" t="n"/>
      <c r="F16" s="6" t="n"/>
      <c r="G16" s="6" t="n"/>
      <c r="H16" s="6" t="n"/>
      <c r="I16" s="6" t="n"/>
    </row>
    <row r="17">
      <c r="A17" s="29" t="n"/>
      <c r="B17" s="29" t="n"/>
      <c r="C17" s="29" t="n"/>
      <c r="D17" s="34" t="n"/>
      <c r="E17" s="29" t="n"/>
      <c r="F17" s="6" t="n"/>
      <c r="G17" s="6" t="n"/>
      <c r="H17" s="6" t="n"/>
      <c r="I17" s="6" t="n"/>
    </row>
    <row r="18">
      <c r="A18" s="29" t="n"/>
      <c r="B18" s="29" t="n"/>
      <c r="C18" s="29" t="n"/>
      <c r="D18" s="34" t="n"/>
      <c r="E18" s="29" t="n"/>
      <c r="F18" s="6" t="n"/>
      <c r="G18" s="6" t="n"/>
      <c r="H18" s="6" t="n"/>
      <c r="I18" s="6" t="n"/>
    </row>
    <row r="19">
      <c r="A19" s="29" t="n"/>
      <c r="B19" s="29" t="n"/>
      <c r="C19" s="29" t="n"/>
      <c r="D19" s="34" t="n"/>
      <c r="E19" s="29" t="n"/>
      <c r="F19" s="6" t="n"/>
      <c r="G19" s="6" t="n"/>
      <c r="H19" s="6" t="n"/>
      <c r="I19" s="6" t="n"/>
    </row>
    <row r="20">
      <c r="A20" s="29" t="n"/>
      <c r="B20" s="29" t="n"/>
      <c r="C20" s="29" t="n"/>
      <c r="D20" s="34" t="n"/>
      <c r="E20" s="29" t="n"/>
      <c r="F20" s="6" t="n"/>
      <c r="G20" s="6" t="n"/>
      <c r="H20" s="6" t="n"/>
      <c r="I20" s="6" t="n"/>
    </row>
    <row r="21">
      <c r="A21" s="29" t="n"/>
      <c r="B21" s="29" t="n"/>
      <c r="C21" s="29" t="n"/>
      <c r="D21" s="34" t="n"/>
      <c r="E21" s="29" t="n"/>
      <c r="F21" s="6" t="n"/>
      <c r="G21" s="6" t="n"/>
      <c r="H21" s="6" t="n"/>
      <c r="I21" s="6" t="n"/>
    </row>
    <row r="22">
      <c r="A22" s="29" t="n"/>
      <c r="B22" s="29" t="n"/>
      <c r="C22" s="29" t="n"/>
      <c r="D22" s="34" t="n"/>
      <c r="E22" s="29" t="n"/>
      <c r="F22" s="6" t="n"/>
      <c r="G22" s="6" t="n"/>
      <c r="H22" s="6" t="n"/>
      <c r="I22" s="6" t="n"/>
    </row>
    <row r="23">
      <c r="A23" s="29" t="n"/>
      <c r="B23" s="29" t="n"/>
      <c r="C23" s="29" t="n"/>
      <c r="D23" s="34" t="n"/>
      <c r="E23" s="29" t="n"/>
      <c r="F23" s="6" t="n"/>
      <c r="G23" s="6" t="n"/>
      <c r="H23" s="6" t="n"/>
      <c r="I23" s="6" t="n"/>
    </row>
    <row r="24">
      <c r="A24" s="29" t="n"/>
      <c r="B24" s="29" t="n"/>
      <c r="C24" s="29" t="n"/>
      <c r="D24" s="34" t="n"/>
      <c r="E24" s="29" t="n"/>
      <c r="F24" s="6" t="n"/>
      <c r="G24" s="6" t="n"/>
      <c r="H24" s="6" t="n"/>
      <c r="I24" s="6" t="n"/>
    </row>
    <row r="25">
      <c r="A25" s="29" t="n"/>
      <c r="B25" s="29" t="n"/>
      <c r="C25" s="29" t="n"/>
      <c r="D25" s="34" t="n"/>
      <c r="E25" s="29" t="n"/>
      <c r="F25" s="6" t="n"/>
      <c r="G25" s="6" t="n"/>
      <c r="H25" s="6" t="n"/>
      <c r="I25" s="6" t="n"/>
    </row>
    <row r="26">
      <c r="A26" s="29" t="n"/>
      <c r="B26" s="29" t="n"/>
      <c r="C26" s="29" t="n"/>
      <c r="D26" s="34" t="n"/>
      <c r="E26" s="29" t="n"/>
      <c r="F26" s="6" t="n"/>
      <c r="G26" s="6" t="n"/>
      <c r="H26" s="6" t="n"/>
      <c r="I26" s="6" t="n"/>
    </row>
    <row r="27">
      <c r="A27" s="29" t="n"/>
      <c r="B27" s="29" t="n"/>
      <c r="C27" s="29" t="n"/>
      <c r="D27" s="34" t="n"/>
      <c r="E27" s="29" t="n"/>
      <c r="F27" s="6" t="n"/>
      <c r="G27" s="6" t="n"/>
      <c r="H27" s="6" t="n"/>
      <c r="I27" s="6" t="n"/>
    </row>
    <row r="28">
      <c r="A28" s="29" t="n"/>
      <c r="B28" s="29" t="n"/>
      <c r="C28" s="29" t="n"/>
      <c r="D28" s="34" t="n"/>
      <c r="E28" s="29" t="n"/>
      <c r="F28" s="6" t="n"/>
      <c r="G28" s="6" t="n"/>
      <c r="H28" s="6" t="n"/>
      <c r="I28" s="6" t="n"/>
    </row>
    <row r="29">
      <c r="A29" s="29" t="n"/>
      <c r="B29" s="29" t="n"/>
      <c r="C29" s="29" t="n"/>
      <c r="D29" s="34" t="n"/>
      <c r="E29" s="29" t="n"/>
      <c r="F29" s="6" t="n"/>
      <c r="G29" s="6" t="n"/>
      <c r="H29" s="6" t="n"/>
      <c r="I29" s="6" t="n"/>
    </row>
    <row r="30">
      <c r="A30" s="29" t="n"/>
      <c r="B30" s="29" t="n"/>
      <c r="C30" s="29" t="n"/>
      <c r="D30" s="34" t="n"/>
      <c r="E30" s="29" t="n"/>
      <c r="F30" s="6" t="n"/>
      <c r="G30" s="6" t="n"/>
      <c r="H30" s="6" t="n"/>
      <c r="I30" s="6" t="n"/>
    </row>
    <row r="31">
      <c r="A31" s="29" t="n"/>
      <c r="B31" s="29" t="n"/>
      <c r="C31" s="29" t="n"/>
      <c r="D31" s="34" t="n"/>
      <c r="E31" s="29" t="n"/>
      <c r="F31" s="6" t="n"/>
      <c r="G31" s="6" t="n"/>
      <c r="H31" s="6" t="n"/>
      <c r="I31" s="6" t="n"/>
    </row>
    <row r="32">
      <c r="A32" s="29" t="n"/>
      <c r="B32" s="29" t="n"/>
      <c r="C32" s="29" t="n"/>
      <c r="D32" s="34" t="n"/>
      <c r="E32" s="29" t="n"/>
      <c r="F32" s="6" t="n"/>
      <c r="G32" s="6" t="n"/>
      <c r="H32" s="6" t="n"/>
      <c r="I32" s="6" t="n"/>
    </row>
    <row r="33">
      <c r="A33" s="29" t="n"/>
      <c r="B33" s="29" t="n"/>
      <c r="C33" s="29" t="n"/>
      <c r="D33" s="34" t="n"/>
      <c r="E33" s="29" t="n"/>
      <c r="F33" s="6" t="n"/>
      <c r="G33" s="6" t="n"/>
      <c r="H33" s="6" t="n"/>
      <c r="I33" s="6" t="n"/>
    </row>
    <row r="34">
      <c r="A34" s="29" t="n"/>
      <c r="B34" s="29" t="n"/>
      <c r="C34" s="29" t="n"/>
      <c r="D34" s="34" t="n"/>
      <c r="E34" s="29" t="n"/>
      <c r="F34" s="6" t="n"/>
      <c r="G34" s="6" t="n"/>
      <c r="H34" s="6" t="n"/>
      <c r="I34" s="6" t="n"/>
    </row>
    <row r="35">
      <c r="A35" s="29" t="n"/>
      <c r="B35" s="29" t="n"/>
      <c r="C35" s="29" t="n"/>
      <c r="D35" s="34" t="n"/>
      <c r="E35" s="29" t="n"/>
      <c r="F35" s="6" t="n"/>
      <c r="G35" s="6" t="n"/>
      <c r="H35" s="6" t="n"/>
      <c r="I35" s="6" t="n"/>
    </row>
    <row r="36">
      <c r="A36" s="29" t="n"/>
      <c r="B36" s="29" t="n"/>
      <c r="C36" s="29" t="n"/>
      <c r="D36" s="34" t="n"/>
      <c r="E36" s="29" t="n"/>
      <c r="F36" s="6" t="n"/>
      <c r="G36" s="6" t="n"/>
      <c r="H36" s="6" t="n"/>
      <c r="I36" s="6" t="n"/>
    </row>
    <row r="37">
      <c r="A37" s="29" t="n"/>
      <c r="B37" s="29" t="n"/>
      <c r="C37" s="29" t="n"/>
      <c r="D37" s="34" t="n"/>
      <c r="E37" s="29" t="n"/>
      <c r="F37" s="6" t="n"/>
      <c r="G37" s="6" t="n"/>
      <c r="H37" s="6" t="n"/>
      <c r="I37" s="6" t="n"/>
    </row>
    <row r="38">
      <c r="A38" s="29" t="n"/>
      <c r="B38" s="29" t="n"/>
      <c r="C38" s="29" t="n"/>
      <c r="D38" s="34" t="n"/>
      <c r="E38" s="29" t="n"/>
      <c r="F38" s="6" t="n"/>
      <c r="G38" s="6" t="n"/>
      <c r="H38" s="6" t="n"/>
      <c r="I38" s="6" t="n"/>
    </row>
    <row r="39">
      <c r="A39" s="29" t="n"/>
      <c r="B39" s="29" t="n"/>
      <c r="C39" s="29" t="n"/>
      <c r="D39" s="34" t="n"/>
      <c r="E39" s="29" t="n"/>
      <c r="F39" s="6" t="n"/>
      <c r="G39" s="6" t="n"/>
      <c r="H39" s="6" t="n"/>
      <c r="I39" s="6" t="n"/>
    </row>
    <row r="40">
      <c r="A40" s="29" t="n"/>
      <c r="B40" s="29" t="n"/>
      <c r="C40" s="29" t="n"/>
      <c r="D40" s="34" t="n"/>
      <c r="E40" s="29" t="n"/>
      <c r="F40" s="6" t="n"/>
      <c r="G40" s="6" t="n"/>
      <c r="H40" s="6" t="n"/>
      <c r="I40" s="6" t="n"/>
    </row>
    <row r="41">
      <c r="A41" s="29" t="n"/>
      <c r="B41" s="29" t="n"/>
      <c r="C41" s="29" t="n"/>
      <c r="D41" s="34" t="n"/>
      <c r="E41" s="29" t="n"/>
      <c r="F41" s="6" t="n"/>
      <c r="G41" s="6" t="n"/>
      <c r="H41" s="6" t="n"/>
      <c r="I41" s="6" t="n"/>
    </row>
    <row r="42">
      <c r="A42" s="29" t="n"/>
      <c r="B42" s="29" t="n"/>
      <c r="C42" s="29" t="n"/>
      <c r="D42" s="34" t="n"/>
      <c r="E42" s="29" t="n"/>
      <c r="F42" s="6" t="n"/>
      <c r="G42" s="6" t="n"/>
      <c r="H42" s="6" t="n"/>
      <c r="I42" s="6" t="n"/>
    </row>
    <row r="43">
      <c r="A43" s="29" t="n"/>
      <c r="B43" s="29" t="n"/>
      <c r="C43" s="29" t="n"/>
      <c r="D43" s="34" t="n"/>
      <c r="E43" s="29" t="n"/>
      <c r="F43" s="6" t="n"/>
      <c r="G43" s="6" t="n"/>
      <c r="H43" s="6" t="n"/>
      <c r="I43" s="6" t="n"/>
    </row>
    <row r="44">
      <c r="A44" s="29" t="n"/>
      <c r="B44" s="29" t="n"/>
      <c r="C44" s="29" t="n"/>
      <c r="D44" s="34" t="n"/>
      <c r="E44" s="29" t="n"/>
      <c r="F44" s="6" t="n"/>
      <c r="G44" s="6" t="n"/>
      <c r="H44" s="6" t="n"/>
      <c r="I44" s="6" t="n"/>
    </row>
    <row r="45">
      <c r="A45" s="29" t="n"/>
      <c r="B45" s="29" t="n"/>
      <c r="C45" s="29" t="n"/>
      <c r="D45" s="34" t="n"/>
      <c r="E45" s="29" t="n"/>
      <c r="F45" s="6" t="n"/>
      <c r="G45" s="6" t="n"/>
      <c r="H45" s="6" t="n"/>
      <c r="I45" s="6" t="n"/>
    </row>
    <row r="46">
      <c r="A46" s="29" t="n"/>
      <c r="B46" s="29" t="n"/>
      <c r="C46" s="29" t="n"/>
      <c r="D46" s="34" t="n"/>
      <c r="E46" s="29" t="n"/>
      <c r="F46" s="6" t="n"/>
      <c r="G46" s="6" t="n"/>
      <c r="H46" s="6" t="n"/>
      <c r="I46" s="6" t="n"/>
    </row>
    <row r="47">
      <c r="A47" s="29" t="n"/>
      <c r="B47" s="29" t="n"/>
      <c r="C47" s="29" t="n"/>
      <c r="D47" s="34" t="n"/>
      <c r="E47" s="29" t="n"/>
      <c r="F47" s="6" t="n"/>
      <c r="G47" s="6" t="n"/>
      <c r="H47" s="6" t="n"/>
      <c r="I47" s="6" t="n"/>
    </row>
    <row r="48">
      <c r="A48" s="29" t="n"/>
      <c r="B48" s="29" t="n"/>
      <c r="C48" s="29" t="n"/>
      <c r="D48" s="34" t="n"/>
      <c r="E48" s="29" t="n"/>
      <c r="F48" s="6" t="n"/>
      <c r="G48" s="6" t="n"/>
      <c r="H48" s="6" t="n"/>
      <c r="I48" s="6" t="n"/>
    </row>
    <row r="49">
      <c r="A49" s="29" t="n"/>
      <c r="B49" s="29" t="n"/>
      <c r="C49" s="29" t="n"/>
      <c r="D49" s="34" t="n"/>
      <c r="E49" s="29" t="n"/>
      <c r="F49" s="6" t="n"/>
      <c r="G49" s="6" t="n"/>
      <c r="H49" s="6" t="n"/>
      <c r="I49" s="6" t="n"/>
    </row>
    <row r="50">
      <c r="A50" s="29" t="n"/>
      <c r="B50" s="29" t="n"/>
      <c r="C50" s="29" t="n"/>
      <c r="D50" s="34" t="n"/>
      <c r="E50" s="29" t="n"/>
      <c r="F50" s="6" t="n"/>
      <c r="G50" s="6" t="n"/>
      <c r="H50" s="6" t="n"/>
      <c r="I50" s="6" t="n"/>
    </row>
    <row r="51">
      <c r="A51" s="29" t="n"/>
      <c r="B51" s="29" t="n"/>
      <c r="C51" s="29" t="n"/>
      <c r="D51" s="34" t="n"/>
      <c r="E51" s="29" t="n"/>
      <c r="F51" s="6" t="n"/>
      <c r="G51" s="6" t="n"/>
      <c r="H51" s="6" t="n"/>
      <c r="I51" s="6" t="n"/>
    </row>
    <row r="52">
      <c r="A52" s="29" t="n"/>
      <c r="B52" s="29" t="n"/>
      <c r="C52" s="29" t="n"/>
      <c r="D52" s="34" t="n"/>
      <c r="E52" s="29" t="n"/>
      <c r="F52" s="6" t="n"/>
      <c r="G52" s="6" t="n"/>
      <c r="H52" s="6" t="n"/>
      <c r="I52" s="6" t="n"/>
    </row>
    <row r="53">
      <c r="A53" s="29" t="n"/>
      <c r="B53" s="29" t="n"/>
      <c r="C53" s="29" t="n"/>
      <c r="D53" s="34" t="n"/>
      <c r="E53" s="29" t="n"/>
      <c r="F53" s="6" t="n"/>
      <c r="G53" s="6" t="n"/>
      <c r="H53" s="6" t="n"/>
      <c r="I53" s="6" t="n"/>
    </row>
    <row r="54">
      <c r="A54" s="29" t="n"/>
      <c r="B54" s="29" t="n"/>
      <c r="C54" s="29" t="n"/>
      <c r="D54" s="34" t="n"/>
      <c r="E54" s="29" t="n"/>
      <c r="F54" s="6" t="n"/>
      <c r="G54" s="6" t="n"/>
      <c r="H54" s="6" t="n"/>
      <c r="I54" s="6" t="n"/>
    </row>
    <row r="55">
      <c r="A55" s="29" t="n"/>
      <c r="B55" s="29" t="n"/>
      <c r="C55" s="29" t="n"/>
      <c r="D55" s="34" t="n"/>
      <c r="E55" s="29" t="n"/>
      <c r="F55" s="6" t="n"/>
      <c r="G55" s="6" t="n"/>
      <c r="H55" s="6" t="n"/>
      <c r="I55" s="6" t="n"/>
    </row>
    <row r="56">
      <c r="A56" s="29" t="n"/>
      <c r="B56" s="29" t="n"/>
      <c r="C56" s="29" t="n"/>
      <c r="D56" s="34" t="n"/>
      <c r="E56" s="29" t="n"/>
      <c r="F56" s="6" t="n"/>
      <c r="G56" s="6" t="n"/>
      <c r="H56" s="6" t="n"/>
      <c r="I56" s="6" t="n"/>
    </row>
    <row r="57">
      <c r="A57" s="29" t="n"/>
      <c r="B57" s="29" t="n"/>
      <c r="C57" s="29" t="n"/>
      <c r="D57" s="34" t="n"/>
      <c r="E57" s="29" t="n"/>
      <c r="F57" s="6" t="n"/>
      <c r="G57" s="6" t="n"/>
      <c r="H57" s="6" t="n"/>
      <c r="I57" s="6" t="n"/>
    </row>
    <row r="58">
      <c r="A58" s="29" t="n"/>
      <c r="B58" s="29" t="n"/>
      <c r="C58" s="29" t="n"/>
      <c r="D58" s="34" t="n"/>
      <c r="E58" s="29" t="n"/>
      <c r="F58" s="6" t="n"/>
      <c r="G58" s="6" t="n"/>
      <c r="H58" s="6" t="n"/>
      <c r="I58" s="6" t="n"/>
    </row>
    <row r="59">
      <c r="A59" s="29" t="n"/>
      <c r="B59" s="29" t="n"/>
      <c r="C59" s="29" t="n"/>
      <c r="D59" s="34" t="n"/>
      <c r="E59" s="29" t="n"/>
      <c r="F59" s="6" t="n"/>
      <c r="G59" s="6" t="n"/>
      <c r="H59" s="6" t="n"/>
      <c r="I59" s="6" t="n"/>
    </row>
    <row r="60">
      <c r="A60" s="29" t="n"/>
      <c r="B60" s="29" t="n"/>
      <c r="C60" s="29" t="n"/>
      <c r="D60" s="34" t="n"/>
      <c r="E60" s="29" t="n"/>
      <c r="F60" s="6" t="n"/>
      <c r="G60" s="6" t="n"/>
      <c r="H60" s="6" t="n"/>
      <c r="I60" s="6" t="n"/>
    </row>
    <row r="61">
      <c r="A61" s="29" t="n"/>
      <c r="B61" s="29" t="n"/>
      <c r="C61" s="29" t="n"/>
      <c r="D61" s="34" t="n"/>
      <c r="E61" s="29" t="n"/>
      <c r="F61" s="6" t="n"/>
      <c r="G61" s="6" t="n"/>
      <c r="H61" s="6" t="n"/>
      <c r="I61" s="6" t="n"/>
    </row>
    <row r="62">
      <c r="A62" s="29" t="n"/>
      <c r="B62" s="29" t="n"/>
      <c r="C62" s="29" t="n"/>
      <c r="D62" s="34" t="n"/>
      <c r="E62" s="29" t="n"/>
      <c r="F62" s="6" t="n"/>
      <c r="G62" s="6" t="n"/>
      <c r="H62" s="6" t="n"/>
      <c r="I62" s="6" t="n"/>
    </row>
    <row r="63">
      <c r="A63" s="29" t="n"/>
      <c r="B63" s="29" t="n"/>
      <c r="C63" s="29" t="n"/>
      <c r="D63" s="34" t="n"/>
      <c r="E63" s="29" t="n"/>
      <c r="F63" s="6" t="n"/>
      <c r="G63" s="6" t="n"/>
      <c r="H63" s="6" t="n"/>
      <c r="I63" s="6" t="n"/>
    </row>
    <row r="64">
      <c r="A64" s="29" t="n"/>
      <c r="B64" s="29" t="n"/>
      <c r="C64" s="29" t="n"/>
      <c r="D64" s="34" t="n"/>
      <c r="E64" s="29" t="n"/>
      <c r="F64" s="6" t="n"/>
      <c r="G64" s="6" t="n"/>
      <c r="H64" s="6" t="n"/>
      <c r="I64" s="6" t="n"/>
    </row>
    <row r="65">
      <c r="A65" s="29" t="n"/>
      <c r="B65" s="29" t="n"/>
      <c r="C65" s="29" t="n"/>
      <c r="D65" s="34" t="n"/>
      <c r="E65" s="29" t="n"/>
      <c r="F65" s="6" t="n"/>
      <c r="G65" s="6" t="n"/>
      <c r="H65" s="6" t="n"/>
      <c r="I65" s="6" t="n"/>
    </row>
    <row r="66">
      <c r="A66" s="29" t="n"/>
      <c r="B66" s="29" t="n"/>
      <c r="C66" s="29" t="n"/>
      <c r="D66" s="34" t="n"/>
      <c r="E66" s="29" t="n"/>
      <c r="F66" s="6" t="n"/>
      <c r="G66" s="6" t="n"/>
      <c r="H66" s="6" t="n"/>
      <c r="I66" s="6" t="n"/>
    </row>
    <row r="67">
      <c r="A67" s="29" t="n"/>
      <c r="B67" s="29" t="n"/>
      <c r="C67" s="29" t="n"/>
      <c r="D67" s="34" t="n"/>
      <c r="E67" s="29" t="n"/>
      <c r="F67" s="6" t="n"/>
      <c r="G67" s="6" t="n"/>
      <c r="H67" s="6" t="n"/>
      <c r="I67" s="6" t="n"/>
    </row>
    <row r="68">
      <c r="A68" s="29" t="n"/>
      <c r="B68" s="29" t="n"/>
      <c r="C68" s="29" t="n"/>
      <c r="D68" s="34" t="n"/>
      <c r="E68" s="29" t="n"/>
      <c r="F68" s="6" t="n"/>
      <c r="G68" s="6" t="n"/>
      <c r="H68" s="6" t="n"/>
      <c r="I68" s="6" t="n"/>
    </row>
    <row r="69">
      <c r="A69" s="29" t="n"/>
      <c r="B69" s="29" t="n"/>
      <c r="C69" s="29" t="n"/>
      <c r="D69" s="34" t="n"/>
      <c r="E69" s="29" t="n"/>
      <c r="F69" s="6" t="n"/>
      <c r="G69" s="6" t="n"/>
      <c r="H69" s="6" t="n"/>
      <c r="I69" s="6" t="n"/>
    </row>
    <row r="70">
      <c r="A70" s="29" t="n"/>
      <c r="B70" s="29" t="n"/>
      <c r="C70" s="29" t="n"/>
      <c r="D70" s="34" t="n"/>
      <c r="E70" s="29" t="n"/>
      <c r="F70" s="6" t="n"/>
      <c r="G70" s="6" t="n"/>
      <c r="H70" s="6" t="n"/>
      <c r="I70" s="6" t="n"/>
    </row>
    <row r="71">
      <c r="A71" s="29" t="n"/>
      <c r="B71" s="29" t="n"/>
      <c r="C71" s="29" t="n"/>
      <c r="D71" s="34" t="n"/>
      <c r="E71" s="29" t="n"/>
      <c r="F71" s="6" t="n"/>
      <c r="G71" s="6" t="n"/>
      <c r="H71" s="6" t="n"/>
      <c r="I71" s="6" t="n"/>
    </row>
    <row r="72">
      <c r="A72" s="29" t="n"/>
      <c r="B72" s="29" t="n"/>
      <c r="C72" s="29" t="n"/>
      <c r="D72" s="34" t="n"/>
      <c r="E72" s="29" t="n"/>
      <c r="F72" s="6" t="n"/>
      <c r="G72" s="6" t="n"/>
      <c r="H72" s="6" t="n"/>
      <c r="I72" s="6" t="n"/>
    </row>
    <row r="73">
      <c r="A73" s="29" t="n"/>
      <c r="B73" s="29" t="n"/>
      <c r="C73" s="29" t="n"/>
      <c r="D73" s="34" t="n"/>
      <c r="E73" s="29" t="n"/>
      <c r="F73" s="6" t="n"/>
      <c r="G73" s="6" t="n"/>
      <c r="H73" s="6" t="n"/>
      <c r="I73" s="6" t="n"/>
    </row>
    <row r="74">
      <c r="A74" s="29" t="n"/>
      <c r="B74" s="29" t="n"/>
      <c r="C74" s="29" t="n"/>
      <c r="D74" s="34" t="n"/>
      <c r="E74" s="29" t="n"/>
      <c r="F74" s="6" t="n"/>
      <c r="G74" s="6" t="n"/>
      <c r="H74" s="6" t="n"/>
      <c r="I74" s="6" t="n"/>
    </row>
    <row r="75">
      <c r="A75" s="29" t="n"/>
      <c r="B75" s="29" t="n"/>
      <c r="C75" s="29" t="n"/>
      <c r="D75" s="34" t="n"/>
      <c r="E75" s="29" t="n"/>
      <c r="F75" s="6" t="n"/>
      <c r="G75" s="6" t="n"/>
      <c r="H75" s="6" t="n"/>
      <c r="I75" s="6" t="n"/>
    </row>
    <row r="76">
      <c r="A76" s="29" t="n"/>
      <c r="B76" s="29" t="n"/>
      <c r="C76" s="29" t="n"/>
      <c r="D76" s="34" t="n"/>
      <c r="E76" s="29" t="n"/>
      <c r="F76" s="6" t="n"/>
      <c r="G76" s="6" t="n"/>
      <c r="H76" s="6" t="n"/>
      <c r="I76" s="6" t="n"/>
    </row>
    <row r="77">
      <c r="A77" s="29" t="n"/>
      <c r="B77" s="29" t="n"/>
      <c r="C77" s="29" t="n"/>
      <c r="D77" s="34" t="n"/>
      <c r="E77" s="29" t="n"/>
      <c r="F77" s="6" t="n"/>
      <c r="G77" s="6" t="n"/>
      <c r="H77" s="6" t="n"/>
      <c r="I77" s="6" t="n"/>
    </row>
    <row r="78">
      <c r="A78" s="29" t="n"/>
      <c r="B78" s="29" t="n"/>
      <c r="C78" s="29" t="n"/>
      <c r="D78" s="34" t="n"/>
      <c r="E78" s="29" t="n"/>
      <c r="F78" s="6" t="n"/>
      <c r="G78" s="6" t="n"/>
      <c r="H78" s="6" t="n"/>
      <c r="I78" s="6" t="n"/>
    </row>
    <row r="79">
      <c r="A79" s="29" t="n"/>
      <c r="B79" s="29" t="n"/>
      <c r="C79" s="29" t="n"/>
      <c r="D79" s="34" t="n"/>
      <c r="E79" s="29" t="n"/>
      <c r="F79" s="6" t="n"/>
      <c r="G79" s="6" t="n"/>
      <c r="H79" s="6" t="n"/>
      <c r="I79" s="6" t="n"/>
    </row>
    <row r="80">
      <c r="A80" s="29" t="n"/>
      <c r="B80" s="29" t="n"/>
      <c r="C80" s="29" t="n"/>
      <c r="D80" s="34" t="n"/>
      <c r="E80" s="29" t="n"/>
      <c r="F80" s="6" t="n"/>
      <c r="G80" s="6" t="n"/>
      <c r="H80" s="6" t="n"/>
      <c r="I80" s="6" t="n"/>
    </row>
    <row r="81">
      <c r="A81" s="29" t="n"/>
      <c r="B81" s="29" t="n"/>
      <c r="C81" s="29" t="n"/>
      <c r="D81" s="34" t="n"/>
      <c r="E81" s="29" t="n"/>
      <c r="F81" s="6" t="n"/>
      <c r="G81" s="6" t="n"/>
      <c r="H81" s="6" t="n"/>
      <c r="I81" s="6" t="n"/>
    </row>
    <row r="82">
      <c r="A82" s="29" t="n"/>
      <c r="B82" s="29" t="n"/>
      <c r="C82" s="29" t="n"/>
      <c r="D82" s="34" t="n"/>
      <c r="E82" s="29" t="n"/>
      <c r="F82" s="6" t="n"/>
      <c r="G82" s="6" t="n"/>
      <c r="H82" s="6" t="n"/>
      <c r="I82" s="6" t="n"/>
    </row>
    <row r="83">
      <c r="A83" s="29" t="n"/>
      <c r="B83" s="29" t="n"/>
      <c r="C83" s="29" t="n"/>
      <c r="D83" s="34" t="n"/>
      <c r="E83" s="29" t="n"/>
      <c r="F83" s="6" t="n"/>
      <c r="G83" s="6" t="n"/>
      <c r="H83" s="6" t="n"/>
      <c r="I83" s="6" t="n"/>
    </row>
    <row r="84">
      <c r="A84" s="29" t="n"/>
      <c r="B84" s="29" t="n"/>
      <c r="C84" s="29" t="n"/>
      <c r="D84" s="34" t="n"/>
      <c r="E84" s="29" t="n"/>
      <c r="F84" s="6" t="n"/>
      <c r="G84" s="6" t="n"/>
      <c r="H84" s="6" t="n"/>
      <c r="I84" s="6" t="n"/>
    </row>
    <row r="85">
      <c r="A85" s="29" t="n"/>
      <c r="B85" s="29" t="n"/>
      <c r="C85" s="29" t="n"/>
      <c r="D85" s="34" t="n"/>
      <c r="E85" s="29" t="n"/>
      <c r="F85" s="6" t="n"/>
      <c r="G85" s="6" t="n"/>
      <c r="H85" s="6" t="n"/>
      <c r="I85" s="6" t="n"/>
    </row>
    <row r="86">
      <c r="A86" s="29" t="n"/>
      <c r="B86" s="29" t="n"/>
      <c r="C86" s="29" t="n"/>
      <c r="D86" s="34" t="n"/>
      <c r="E86" s="29" t="n"/>
      <c r="F86" s="6" t="n"/>
      <c r="G86" s="6" t="n"/>
      <c r="H86" s="6" t="n"/>
      <c r="I86" s="6" t="n"/>
    </row>
    <row r="87">
      <c r="A87" s="29" t="n"/>
      <c r="B87" s="29" t="n"/>
      <c r="C87" s="29" t="n"/>
      <c r="D87" s="34" t="n"/>
      <c r="E87" s="29" t="n"/>
      <c r="F87" s="6" t="n"/>
      <c r="G87" s="6" t="n"/>
      <c r="H87" s="6" t="n"/>
      <c r="I87" s="6" t="n"/>
    </row>
    <row r="88">
      <c r="A88" s="29" t="n"/>
      <c r="B88" s="29" t="n"/>
      <c r="C88" s="29" t="n"/>
      <c r="D88" s="34" t="n"/>
      <c r="E88" s="29" t="n"/>
      <c r="F88" s="6" t="n"/>
      <c r="G88" s="6" t="n"/>
      <c r="H88" s="6" t="n"/>
      <c r="I88" s="6" t="n"/>
    </row>
    <row r="89">
      <c r="A89" s="29" t="n"/>
      <c r="B89" s="29" t="n"/>
      <c r="C89" s="29" t="n"/>
      <c r="D89" s="34" t="n"/>
      <c r="E89" s="29" t="n"/>
      <c r="F89" s="6" t="n"/>
      <c r="G89" s="6" t="n"/>
      <c r="H89" s="6" t="n"/>
      <c r="I89" s="6" t="n"/>
    </row>
    <row r="90">
      <c r="A90" s="29" t="n"/>
      <c r="B90" s="29" t="n"/>
      <c r="C90" s="29" t="n"/>
      <c r="D90" s="34" t="n"/>
      <c r="E90" s="29" t="n"/>
      <c r="F90" s="6" t="n"/>
      <c r="G90" s="6" t="n"/>
      <c r="H90" s="6" t="n"/>
      <c r="I90" s="6" t="n"/>
    </row>
    <row r="91">
      <c r="A91" s="29" t="n"/>
      <c r="B91" s="29" t="n"/>
      <c r="C91" s="29" t="n"/>
      <c r="D91" s="34" t="n"/>
      <c r="E91" s="29" t="n"/>
      <c r="F91" s="6" t="n"/>
      <c r="G91" s="6" t="n"/>
      <c r="H91" s="6" t="n"/>
      <c r="I91" s="6" t="n"/>
    </row>
    <row r="92">
      <c r="A92" s="29" t="n"/>
      <c r="B92" s="29" t="n"/>
      <c r="C92" s="29" t="n"/>
      <c r="D92" s="34" t="n"/>
      <c r="E92" s="29" t="n"/>
      <c r="F92" s="6" t="n"/>
      <c r="G92" s="6" t="n"/>
      <c r="H92" s="6" t="n"/>
      <c r="I92" s="6" t="n"/>
    </row>
    <row r="93">
      <c r="A93" s="29" t="n"/>
      <c r="B93" s="29" t="n"/>
      <c r="C93" s="29" t="n"/>
      <c r="D93" s="34" t="n"/>
      <c r="E93" s="29" t="n"/>
      <c r="F93" s="6" t="n"/>
      <c r="G93" s="6" t="n"/>
      <c r="H93" s="6" t="n"/>
      <c r="I93" s="6" t="n"/>
    </row>
    <row r="94">
      <c r="A94" s="29" t="n"/>
      <c r="B94" s="29" t="n"/>
      <c r="C94" s="29" t="n"/>
      <c r="D94" s="34" t="n"/>
      <c r="E94" s="29" t="n"/>
      <c r="F94" s="6" t="n"/>
      <c r="G94" s="6" t="n"/>
      <c r="H94" s="6" t="n"/>
      <c r="I94" s="6" t="n"/>
    </row>
    <row r="95">
      <c r="A95" s="29" t="n"/>
      <c r="B95" s="29" t="n"/>
      <c r="C95" s="29" t="n"/>
      <c r="D95" s="34" t="n"/>
      <c r="E95" s="29" t="n"/>
      <c r="F95" s="6" t="n"/>
      <c r="G95" s="6" t="n"/>
      <c r="H95" s="6" t="n"/>
      <c r="I95" s="6" t="n"/>
    </row>
    <row r="96">
      <c r="A96" s="29" t="n"/>
      <c r="B96" s="29" t="n"/>
      <c r="C96" s="29" t="n"/>
      <c r="D96" s="34" t="n"/>
      <c r="E96" s="29" t="n"/>
      <c r="F96" s="6" t="n"/>
      <c r="G96" s="6" t="n"/>
      <c r="H96" s="6" t="n"/>
      <c r="I96" s="6" t="n"/>
    </row>
    <row r="97">
      <c r="A97" s="29" t="n"/>
      <c r="B97" s="29" t="n"/>
      <c r="C97" s="29" t="n"/>
      <c r="D97" s="34" t="n"/>
      <c r="E97" s="29" t="n"/>
      <c r="F97" s="6" t="n"/>
      <c r="G97" s="6" t="n"/>
      <c r="H97" s="6" t="n"/>
      <c r="I97" s="6" t="n"/>
    </row>
    <row r="98">
      <c r="A98" s="29" t="n"/>
      <c r="B98" s="29" t="n"/>
      <c r="C98" s="29" t="n"/>
      <c r="D98" s="34" t="n"/>
      <c r="E98" s="29" t="n"/>
      <c r="F98" s="6" t="n"/>
      <c r="G98" s="6" t="n"/>
      <c r="H98" s="6" t="n"/>
      <c r="I98" s="6" t="n"/>
    </row>
    <row r="99">
      <c r="A99" s="29" t="n"/>
      <c r="B99" s="29" t="n"/>
      <c r="C99" s="29" t="n"/>
      <c r="D99" s="34" t="n"/>
      <c r="E99" s="29" t="n"/>
      <c r="F99" s="6" t="n"/>
      <c r="G99" s="6" t="n"/>
      <c r="H99" s="6" t="n"/>
      <c r="I99" s="6" t="n"/>
    </row>
    <row r="100">
      <c r="A100" s="29" t="n"/>
      <c r="B100" s="29" t="n"/>
      <c r="C100" s="29" t="n"/>
      <c r="D100" s="34" t="n"/>
      <c r="E100" s="29" t="n"/>
      <c r="F100" s="6" t="n"/>
      <c r="G100" s="6" t="n"/>
      <c r="H100" s="6" t="n"/>
      <c r="I100" s="6" t="n"/>
    </row>
    <row r="101">
      <c r="A101" s="29" t="n"/>
      <c r="B101" s="29" t="n"/>
      <c r="C101" s="29" t="n"/>
      <c r="D101" s="34" t="n"/>
      <c r="E101" s="29" t="n"/>
      <c r="F101" s="6" t="n"/>
      <c r="G101" s="6" t="n"/>
      <c r="H101" s="6" t="n"/>
      <c r="I101" s="6" t="n"/>
    </row>
    <row r="102">
      <c r="A102" s="29" t="n"/>
      <c r="B102" s="29" t="n"/>
      <c r="C102" s="29" t="n"/>
      <c r="D102" s="34" t="n"/>
      <c r="E102" s="29" t="n"/>
      <c r="F102" s="6" t="n"/>
      <c r="G102" s="6" t="n"/>
      <c r="H102" s="6" t="n"/>
      <c r="I102" s="6" t="n"/>
    </row>
    <row r="103">
      <c r="A103" s="29" t="n"/>
      <c r="B103" s="29" t="n"/>
      <c r="C103" s="29" t="n"/>
      <c r="D103" s="34" t="n"/>
      <c r="E103" s="29" t="n"/>
      <c r="F103" s="6" t="n"/>
      <c r="G103" s="6" t="n"/>
      <c r="H103" s="6" t="n"/>
      <c r="I103" s="6" t="n"/>
    </row>
    <row r="104">
      <c r="A104" s="29" t="n"/>
      <c r="B104" s="29" t="n"/>
      <c r="C104" s="29" t="n"/>
      <c r="D104" s="34" t="n"/>
      <c r="E104" s="29" t="n"/>
      <c r="F104" s="6" t="n"/>
      <c r="G104" s="6" t="n"/>
      <c r="H104" s="6" t="n"/>
      <c r="I104" s="6" t="n"/>
    </row>
    <row r="105">
      <c r="A105" s="29" t="n"/>
      <c r="B105" s="29" t="n"/>
      <c r="C105" s="29" t="n"/>
      <c r="D105" s="34" t="n"/>
      <c r="E105" s="29" t="n"/>
      <c r="F105" s="6" t="n"/>
      <c r="G105" s="6" t="n"/>
      <c r="H105" s="6" t="n"/>
      <c r="I105" s="6" t="n"/>
    </row>
    <row r="106">
      <c r="A106" s="29" t="n"/>
      <c r="B106" s="29" t="n"/>
      <c r="C106" s="29" t="n"/>
      <c r="D106" s="34" t="n"/>
      <c r="E106" s="29" t="n"/>
      <c r="F106" s="6" t="n"/>
      <c r="G106" s="6" t="n"/>
      <c r="H106" s="6" t="n"/>
      <c r="I106" s="6" t="n"/>
    </row>
    <row r="107">
      <c r="A107" s="29" t="n"/>
      <c r="B107" s="29" t="n"/>
      <c r="C107" s="29" t="n"/>
      <c r="D107" s="34" t="n"/>
      <c r="E107" s="29" t="n"/>
      <c r="F107" s="6" t="n"/>
      <c r="G107" s="6" t="n"/>
      <c r="H107" s="6" t="n"/>
      <c r="I107" s="6" t="n"/>
    </row>
    <row r="108">
      <c r="A108" s="29" t="n"/>
      <c r="B108" s="29" t="n"/>
      <c r="C108" s="29" t="n"/>
      <c r="D108" s="34" t="n"/>
      <c r="E108" s="29" t="n"/>
      <c r="F108" s="6" t="n"/>
      <c r="G108" s="6" t="n"/>
      <c r="H108" s="6" t="n"/>
      <c r="I108" s="6" t="n"/>
    </row>
    <row r="109">
      <c r="A109" s="29" t="n"/>
      <c r="B109" s="29" t="n"/>
      <c r="C109" s="29" t="n"/>
      <c r="D109" s="34" t="n"/>
      <c r="E109" s="29" t="n"/>
      <c r="F109" s="6" t="n"/>
      <c r="G109" s="6" t="n"/>
      <c r="H109" s="6" t="n"/>
      <c r="I109" s="6" t="n"/>
    </row>
    <row r="110">
      <c r="A110" s="29" t="n"/>
      <c r="B110" s="29" t="n"/>
      <c r="C110" s="29" t="n"/>
      <c r="D110" s="34" t="n"/>
      <c r="E110" s="29" t="n"/>
      <c r="F110" s="6" t="n"/>
      <c r="G110" s="6" t="n"/>
      <c r="H110" s="6" t="n"/>
      <c r="I110" s="6" t="n"/>
    </row>
    <row r="111">
      <c r="A111" s="29" t="n"/>
      <c r="B111" s="29" t="n"/>
      <c r="C111" s="29" t="n"/>
      <c r="D111" s="34" t="n"/>
      <c r="E111" s="29" t="n"/>
      <c r="F111" s="6" t="n"/>
      <c r="G111" s="6" t="n"/>
      <c r="H111" s="6" t="n"/>
      <c r="I111" s="6" t="n"/>
    </row>
    <row r="112">
      <c r="A112" s="29" t="n"/>
      <c r="B112" s="29" t="n"/>
      <c r="C112" s="29" t="n"/>
      <c r="D112" s="34" t="n"/>
      <c r="E112" s="29" t="n"/>
      <c r="F112" s="6" t="n"/>
      <c r="G112" s="6" t="n"/>
      <c r="H112" s="6" t="n"/>
      <c r="I112" s="6" t="n"/>
    </row>
    <row r="113">
      <c r="A113" s="29" t="n"/>
      <c r="B113" s="29" t="n"/>
      <c r="C113" s="29" t="n"/>
      <c r="D113" s="34" t="n"/>
      <c r="E113" s="29" t="n"/>
      <c r="F113" s="6" t="n"/>
      <c r="G113" s="6" t="n"/>
      <c r="H113" s="6" t="n"/>
      <c r="I113" s="6" t="n"/>
    </row>
    <row r="114">
      <c r="A114" s="29" t="n"/>
      <c r="B114" s="29" t="n"/>
      <c r="C114" s="29" t="n"/>
      <c r="D114" s="34" t="n"/>
      <c r="E114" s="29" t="n"/>
      <c r="F114" s="6" t="n"/>
      <c r="G114" s="6" t="n"/>
      <c r="H114" s="6" t="n"/>
      <c r="I114" s="6" t="n"/>
    </row>
    <row r="115">
      <c r="A115" s="29" t="n"/>
      <c r="B115" s="29" t="n"/>
      <c r="C115" s="29" t="n"/>
      <c r="D115" s="34" t="n"/>
      <c r="E115" s="29" t="n"/>
      <c r="F115" s="6" t="n"/>
      <c r="G115" s="6" t="n"/>
      <c r="H115" s="6" t="n"/>
      <c r="I115" s="6" t="n"/>
    </row>
    <row r="116">
      <c r="A116" s="29" t="n"/>
      <c r="B116" s="29" t="n"/>
      <c r="C116" s="29" t="n"/>
      <c r="D116" s="34" t="n"/>
      <c r="E116" s="29" t="n"/>
      <c r="F116" s="6" t="n"/>
      <c r="G116" s="6" t="n"/>
      <c r="H116" s="6" t="n"/>
      <c r="I116" s="6" t="n"/>
    </row>
    <row r="117">
      <c r="A117" s="29" t="n"/>
      <c r="B117" s="29" t="n"/>
      <c r="C117" s="29" t="n"/>
      <c r="D117" s="34" t="n"/>
      <c r="E117" s="29" t="n"/>
      <c r="F117" s="6" t="n"/>
      <c r="G117" s="6" t="n"/>
      <c r="H117" s="6" t="n"/>
      <c r="I117" s="6" t="n"/>
    </row>
    <row r="118">
      <c r="A118" s="29" t="n"/>
      <c r="B118" s="29" t="n"/>
      <c r="C118" s="29" t="n"/>
      <c r="D118" s="34" t="n"/>
      <c r="E118" s="29" t="n"/>
      <c r="F118" s="6" t="n"/>
      <c r="G118" s="6" t="n"/>
      <c r="H118" s="6" t="n"/>
      <c r="I118" s="6" t="n"/>
    </row>
    <row r="119">
      <c r="A119" s="29" t="n"/>
      <c r="B119" s="29" t="n"/>
      <c r="C119" s="29" t="n"/>
      <c r="D119" s="34" t="n"/>
      <c r="E119" s="29" t="n"/>
      <c r="F119" s="6" t="n"/>
      <c r="G119" s="6" t="n"/>
      <c r="H119" s="6" t="n"/>
      <c r="I119" s="6" t="n"/>
    </row>
    <row r="120">
      <c r="A120" s="29" t="n"/>
      <c r="B120" s="29" t="n"/>
      <c r="C120" s="29" t="n"/>
      <c r="D120" s="34" t="n"/>
      <c r="E120" s="29" t="n"/>
      <c r="F120" s="6" t="n"/>
      <c r="G120" s="6" t="n"/>
      <c r="H120" s="6" t="n"/>
      <c r="I120" s="6" t="n"/>
    </row>
    <row r="121">
      <c r="A121" s="29" t="n"/>
      <c r="B121" s="29" t="n"/>
      <c r="C121" s="29" t="n"/>
      <c r="D121" s="34" t="n"/>
      <c r="E121" s="29" t="n"/>
      <c r="F121" s="6" t="n"/>
      <c r="G121" s="6" t="n"/>
      <c r="H121" s="6" t="n"/>
      <c r="I121" s="6" t="n"/>
    </row>
    <row r="122">
      <c r="A122" s="29" t="n"/>
      <c r="B122" s="29" t="n"/>
      <c r="C122" s="29" t="n"/>
      <c r="D122" s="34" t="n"/>
      <c r="E122" s="29" t="n"/>
      <c r="F122" s="6" t="n"/>
      <c r="G122" s="6" t="n"/>
      <c r="H122" s="6" t="n"/>
      <c r="I122" s="6" t="n"/>
    </row>
    <row r="123">
      <c r="A123" s="29" t="n"/>
      <c r="B123" s="29" t="n"/>
      <c r="C123" s="29" t="n"/>
      <c r="D123" s="34" t="n"/>
      <c r="E123" s="29" t="n"/>
      <c r="F123" s="6" t="n"/>
      <c r="G123" s="6" t="n"/>
      <c r="H123" s="6" t="n"/>
      <c r="I123" s="6" t="n"/>
    </row>
    <row r="124">
      <c r="A124" s="29" t="n"/>
      <c r="B124" s="29" t="n"/>
      <c r="C124" s="29" t="n"/>
      <c r="D124" s="34" t="n"/>
      <c r="E124" s="29" t="n"/>
      <c r="F124" s="6" t="n"/>
      <c r="G124" s="6" t="n"/>
      <c r="H124" s="6" t="n"/>
      <c r="I124" s="6" t="n"/>
    </row>
    <row r="125">
      <c r="A125" s="29" t="n"/>
      <c r="B125" s="29" t="n"/>
      <c r="C125" s="29" t="n"/>
      <c r="D125" s="34" t="n"/>
      <c r="E125" s="29" t="n"/>
      <c r="F125" s="6" t="n"/>
      <c r="G125" s="6" t="n"/>
      <c r="H125" s="6" t="n"/>
      <c r="I125" s="6" t="n"/>
    </row>
    <row r="126">
      <c r="A126" s="29" t="n"/>
      <c r="B126" s="29" t="n"/>
      <c r="C126" s="29" t="n"/>
      <c r="D126" s="34" t="n"/>
      <c r="E126" s="29" t="n"/>
      <c r="F126" s="6" t="n"/>
      <c r="G126" s="6" t="n"/>
      <c r="H126" s="6" t="n"/>
      <c r="I126" s="6" t="n"/>
    </row>
    <row r="127">
      <c r="A127" s="29" t="n"/>
      <c r="B127" s="29" t="n"/>
      <c r="C127" s="29" t="n"/>
      <c r="D127" s="34" t="n"/>
      <c r="E127" s="29" t="n"/>
      <c r="F127" s="6" t="n"/>
      <c r="G127" s="6" t="n"/>
      <c r="H127" s="6" t="n"/>
      <c r="I127" s="6" t="n"/>
    </row>
    <row r="128">
      <c r="A128" s="29" t="n"/>
      <c r="B128" s="29" t="n"/>
      <c r="C128" s="29" t="n"/>
      <c r="D128" s="34" t="n"/>
      <c r="E128" s="29" t="n"/>
      <c r="F128" s="6" t="n"/>
      <c r="G128" s="6" t="n"/>
      <c r="H128" s="6" t="n"/>
      <c r="I128" s="6" t="n"/>
    </row>
    <row r="129">
      <c r="A129" s="29" t="n"/>
      <c r="B129" s="29" t="n"/>
      <c r="C129" s="29" t="n"/>
      <c r="D129" s="34" t="n"/>
      <c r="E129" s="29" t="n"/>
      <c r="F129" s="6" t="n"/>
      <c r="G129" s="6" t="n"/>
      <c r="H129" s="6" t="n"/>
      <c r="I129" s="6" t="n"/>
    </row>
    <row r="130">
      <c r="A130" s="29" t="n"/>
      <c r="B130" s="29" t="n"/>
      <c r="C130" s="29" t="n"/>
      <c r="D130" s="34" t="n"/>
      <c r="E130" s="29" t="n"/>
      <c r="F130" s="6" t="n"/>
      <c r="G130" s="6" t="n"/>
      <c r="H130" s="6" t="n"/>
      <c r="I130" s="6" t="n"/>
    </row>
    <row r="131">
      <c r="A131" s="29" t="n"/>
      <c r="B131" s="29" t="n"/>
      <c r="C131" s="29" t="n"/>
      <c r="D131" s="34" t="n"/>
      <c r="E131" s="29" t="n"/>
      <c r="F131" s="6" t="n"/>
      <c r="G131" s="6" t="n"/>
      <c r="H131" s="6" t="n"/>
      <c r="I131" s="6" t="n"/>
    </row>
    <row r="132">
      <c r="A132" s="29" t="n"/>
      <c r="B132" s="29" t="n"/>
      <c r="C132" s="29" t="n"/>
      <c r="D132" s="34" t="n"/>
      <c r="E132" s="29" t="n"/>
      <c r="F132" s="6" t="n"/>
      <c r="G132" s="6" t="n"/>
      <c r="H132" s="6" t="n"/>
      <c r="I132" s="6" t="n"/>
    </row>
    <row r="133">
      <c r="A133" s="29" t="n"/>
      <c r="B133" s="29" t="n"/>
      <c r="C133" s="29" t="n"/>
      <c r="D133" s="34" t="n"/>
      <c r="E133" s="29" t="n"/>
      <c r="F133" s="6" t="n"/>
      <c r="G133" s="6" t="n"/>
      <c r="H133" s="6" t="n"/>
      <c r="I133" s="6" t="n"/>
    </row>
    <row r="134">
      <c r="A134" s="29" t="n"/>
      <c r="B134" s="29" t="n"/>
      <c r="C134" s="29" t="n"/>
      <c r="D134" s="34" t="n"/>
      <c r="E134" s="29" t="n"/>
      <c r="F134" s="6" t="n"/>
      <c r="G134" s="6" t="n"/>
      <c r="H134" s="6" t="n"/>
      <c r="I134" s="6" t="n"/>
    </row>
    <row r="135">
      <c r="A135" s="29" t="n"/>
      <c r="B135" s="29" t="n"/>
      <c r="C135" s="29" t="n"/>
      <c r="D135" s="34" t="n"/>
      <c r="E135" s="29" t="n"/>
      <c r="F135" s="6" t="n"/>
      <c r="G135" s="6" t="n"/>
      <c r="H135" s="6" t="n"/>
      <c r="I135" s="6" t="n"/>
    </row>
    <row r="136">
      <c r="A136" s="29" t="n"/>
      <c r="B136" s="29" t="n"/>
      <c r="C136" s="29" t="n"/>
      <c r="D136" s="34" t="n"/>
      <c r="E136" s="29" t="n"/>
      <c r="F136" s="6" t="n"/>
      <c r="G136" s="6" t="n"/>
      <c r="H136" s="6" t="n"/>
      <c r="I136" s="6" t="n"/>
    </row>
    <row r="137">
      <c r="A137" s="29" t="n"/>
      <c r="B137" s="29" t="n"/>
      <c r="C137" s="29" t="n"/>
      <c r="D137" s="34" t="n"/>
      <c r="E137" s="29" t="n"/>
      <c r="F137" s="6" t="n"/>
      <c r="G137" s="6" t="n"/>
      <c r="H137" s="6" t="n"/>
      <c r="I137" s="6" t="n"/>
    </row>
    <row r="138">
      <c r="A138" s="29" t="n"/>
      <c r="B138" s="29" t="n"/>
      <c r="C138" s="29" t="n"/>
      <c r="D138" s="34" t="n"/>
      <c r="E138" s="29" t="n"/>
      <c r="F138" s="6" t="n"/>
      <c r="G138" s="6" t="n"/>
      <c r="H138" s="6" t="n"/>
      <c r="I138" s="6" t="n"/>
    </row>
    <row r="139">
      <c r="A139" s="29" t="n"/>
      <c r="B139" s="29" t="n"/>
      <c r="C139" s="29" t="n"/>
      <c r="D139" s="34" t="n"/>
      <c r="E139" s="29" t="n"/>
      <c r="F139" s="6" t="n"/>
      <c r="G139" s="6" t="n"/>
      <c r="H139" s="6" t="n"/>
      <c r="I139" s="6" t="n"/>
    </row>
    <row r="140">
      <c r="A140" s="29" t="n"/>
      <c r="B140" s="29" t="n"/>
      <c r="C140" s="29" t="n"/>
      <c r="D140" s="34" t="n"/>
      <c r="E140" s="29" t="n"/>
      <c r="F140" s="6" t="n"/>
      <c r="G140" s="6" t="n"/>
      <c r="H140" s="6" t="n"/>
      <c r="I140" s="6" t="n"/>
    </row>
    <row r="141">
      <c r="A141" s="29" t="n"/>
      <c r="B141" s="29" t="n"/>
      <c r="C141" s="29" t="n"/>
      <c r="D141" s="34" t="n"/>
      <c r="E141" s="29" t="n"/>
      <c r="F141" s="6" t="n"/>
      <c r="G141" s="6" t="n"/>
      <c r="H141" s="6" t="n"/>
      <c r="I141" s="6" t="n"/>
    </row>
    <row r="142">
      <c r="A142" s="29" t="n"/>
      <c r="B142" s="29" t="n"/>
      <c r="C142" s="29" t="n"/>
      <c r="D142" s="34" t="n"/>
      <c r="E142" s="29" t="n"/>
      <c r="F142" s="6" t="n"/>
      <c r="G142" s="6" t="n"/>
      <c r="H142" s="6" t="n"/>
      <c r="I142" s="6" t="n"/>
    </row>
    <row r="143">
      <c r="A143" s="29" t="n"/>
      <c r="B143" s="29" t="n"/>
      <c r="C143" s="29" t="n"/>
      <c r="D143" s="34" t="n"/>
      <c r="E143" s="29" t="n"/>
      <c r="F143" s="6" t="n"/>
      <c r="G143" s="6" t="n"/>
      <c r="H143" s="6" t="n"/>
      <c r="I143" s="6" t="n"/>
    </row>
    <row r="144">
      <c r="A144" s="29" t="n"/>
      <c r="B144" s="29" t="n"/>
      <c r="C144" s="29" t="n"/>
      <c r="D144" s="34" t="n"/>
      <c r="E144" s="29" t="n"/>
      <c r="F144" s="6" t="n"/>
      <c r="G144" s="6" t="n"/>
      <c r="H144" s="6" t="n"/>
      <c r="I144" s="6" t="n"/>
    </row>
    <row r="145">
      <c r="A145" s="29" t="n"/>
      <c r="B145" s="29" t="n"/>
      <c r="C145" s="29" t="n"/>
      <c r="D145" s="34" t="n"/>
      <c r="E145" s="29" t="n"/>
      <c r="F145" s="6" t="n"/>
      <c r="G145" s="6" t="n"/>
      <c r="H145" s="6" t="n"/>
      <c r="I145" s="6" t="n"/>
    </row>
    <row r="146">
      <c r="A146" s="29" t="n"/>
      <c r="B146" s="29" t="n"/>
      <c r="C146" s="29" t="n"/>
      <c r="D146" s="34" t="n"/>
      <c r="E146" s="29" t="n"/>
      <c r="F146" s="6" t="n"/>
      <c r="G146" s="6" t="n"/>
      <c r="H146" s="6" t="n"/>
      <c r="I146" s="6" t="n"/>
    </row>
    <row r="147">
      <c r="A147" s="29" t="n"/>
      <c r="B147" s="29" t="n"/>
      <c r="C147" s="29" t="n"/>
      <c r="D147" s="34" t="n"/>
      <c r="E147" s="29" t="n"/>
      <c r="F147" s="6" t="n"/>
      <c r="G147" s="6" t="n"/>
      <c r="H147" s="6" t="n"/>
      <c r="I147" s="6" t="n"/>
    </row>
    <row r="148">
      <c r="A148" s="29" t="n"/>
      <c r="B148" s="29" t="n"/>
      <c r="C148" s="29" t="n"/>
      <c r="D148" s="34" t="n"/>
      <c r="E148" s="29" t="n"/>
      <c r="F148" s="6" t="n"/>
      <c r="G148" s="6" t="n"/>
      <c r="H148" s="6" t="n"/>
      <c r="I148" s="6" t="n"/>
    </row>
    <row r="149">
      <c r="A149" s="29" t="n"/>
      <c r="B149" s="29" t="n"/>
      <c r="C149" s="29" t="n"/>
      <c r="D149" s="34" t="n"/>
      <c r="E149" s="29" t="n"/>
      <c r="F149" s="6" t="n"/>
      <c r="G149" s="6" t="n"/>
      <c r="H149" s="6" t="n"/>
      <c r="I149" s="6" t="n"/>
    </row>
    <row r="150">
      <c r="A150" s="29" t="n"/>
      <c r="B150" s="29" t="n"/>
      <c r="C150" s="29" t="n"/>
      <c r="D150" s="34" t="n"/>
      <c r="E150" s="29" t="n"/>
      <c r="F150" s="6" t="n"/>
      <c r="G150" s="6" t="n"/>
      <c r="H150" s="6" t="n"/>
      <c r="I150" s="6" t="n"/>
    </row>
    <row r="151">
      <c r="A151" s="29" t="n"/>
      <c r="B151" s="29" t="n"/>
      <c r="C151" s="29" t="n"/>
      <c r="D151" s="34" t="n"/>
      <c r="E151" s="29" t="n"/>
      <c r="F151" s="6" t="n"/>
      <c r="G151" s="6" t="n"/>
      <c r="H151" s="6" t="n"/>
      <c r="I151" s="6" t="n"/>
    </row>
    <row r="152">
      <c r="A152" s="29" t="n"/>
      <c r="B152" s="29" t="n"/>
      <c r="C152" s="29" t="n"/>
      <c r="D152" s="34" t="n"/>
      <c r="E152" s="29" t="n"/>
      <c r="F152" s="6" t="n"/>
      <c r="G152" s="6" t="n"/>
      <c r="H152" s="6" t="n"/>
      <c r="I152" s="6" t="n"/>
    </row>
    <row r="153">
      <c r="A153" s="29" t="n"/>
      <c r="B153" s="29" t="n"/>
      <c r="C153" s="29" t="n"/>
      <c r="D153" s="34" t="n"/>
      <c r="E153" s="29" t="n"/>
      <c r="F153" s="6" t="n"/>
      <c r="G153" s="6" t="n"/>
      <c r="H153" s="6" t="n"/>
      <c r="I153" s="6" t="n"/>
    </row>
    <row r="154">
      <c r="A154" s="29" t="n"/>
      <c r="B154" s="29" t="n"/>
      <c r="C154" s="29" t="n"/>
      <c r="D154" s="34" t="n"/>
      <c r="E154" s="29" t="n"/>
      <c r="F154" s="6" t="n"/>
      <c r="G154" s="6" t="n"/>
      <c r="H154" s="6" t="n"/>
      <c r="I154" s="6" t="n"/>
    </row>
    <row r="155">
      <c r="A155" s="29" t="n"/>
      <c r="B155" s="29" t="n"/>
      <c r="C155" s="29" t="n"/>
      <c r="D155" s="34" t="n"/>
      <c r="E155" s="29" t="n"/>
      <c r="F155" s="6" t="n"/>
      <c r="G155" s="6" t="n"/>
      <c r="H155" s="6" t="n"/>
      <c r="I155" s="6" t="n"/>
    </row>
    <row r="156">
      <c r="A156" s="29" t="n"/>
      <c r="B156" s="29" t="n"/>
      <c r="C156" s="29" t="n"/>
      <c r="D156" s="34" t="n"/>
      <c r="E156" s="29" t="n"/>
      <c r="F156" s="6" t="n"/>
      <c r="G156" s="6" t="n"/>
      <c r="H156" s="6" t="n"/>
      <c r="I156" s="6" t="n"/>
    </row>
    <row r="157">
      <c r="A157" s="29" t="n"/>
      <c r="B157" s="29" t="n"/>
      <c r="C157" s="29" t="n"/>
      <c r="D157" s="34" t="n"/>
      <c r="E157" s="29" t="n"/>
      <c r="F157" s="6" t="n"/>
      <c r="G157" s="6" t="n"/>
      <c r="H157" s="6" t="n"/>
      <c r="I157" s="6" t="n"/>
    </row>
    <row r="158">
      <c r="A158" s="29" t="n"/>
      <c r="B158" s="29" t="n"/>
      <c r="C158" s="29" t="n"/>
      <c r="D158" s="34" t="n"/>
      <c r="E158" s="29" t="n"/>
      <c r="F158" s="6" t="n"/>
      <c r="G158" s="6" t="n"/>
      <c r="H158" s="6" t="n"/>
      <c r="I158" s="6" t="n"/>
    </row>
    <row r="159">
      <c r="A159" s="29" t="n"/>
      <c r="B159" s="29" t="n"/>
      <c r="C159" s="29" t="n"/>
      <c r="D159" s="34" t="n"/>
      <c r="E159" s="29" t="n"/>
      <c r="F159" s="6" t="n"/>
      <c r="G159" s="6" t="n"/>
      <c r="H159" s="6" t="n"/>
      <c r="I159" s="6" t="n"/>
    </row>
    <row r="160">
      <c r="A160" s="29" t="n"/>
      <c r="B160" s="29" t="n"/>
      <c r="C160" s="29" t="n"/>
      <c r="D160" s="34" t="n"/>
      <c r="E160" s="29" t="n"/>
      <c r="F160" s="6" t="n"/>
      <c r="G160" s="6" t="n"/>
      <c r="H160" s="6" t="n"/>
      <c r="I160" s="6" t="n"/>
    </row>
    <row r="161">
      <c r="A161" s="29" t="n"/>
      <c r="B161" s="29" t="n"/>
      <c r="C161" s="29" t="n"/>
      <c r="D161" s="34" t="n"/>
      <c r="E161" s="29" t="n"/>
      <c r="F161" s="6" t="n"/>
      <c r="G161" s="6" t="n"/>
      <c r="H161" s="6" t="n"/>
      <c r="I161" s="6" t="n"/>
    </row>
    <row r="162">
      <c r="A162" s="29" t="n"/>
      <c r="B162" s="29" t="n"/>
      <c r="C162" s="29" t="n"/>
      <c r="D162" s="34" t="n"/>
      <c r="E162" s="29" t="n"/>
      <c r="F162" s="6" t="n"/>
      <c r="G162" s="6" t="n"/>
      <c r="H162" s="6" t="n"/>
      <c r="I162" s="6" t="n"/>
    </row>
    <row r="163">
      <c r="A163" s="29" t="n"/>
      <c r="B163" s="29" t="n"/>
      <c r="C163" s="29" t="n"/>
      <c r="D163" s="34" t="n"/>
      <c r="E163" s="29" t="n"/>
      <c r="F163" s="6" t="n"/>
      <c r="G163" s="6" t="n"/>
      <c r="H163" s="6" t="n"/>
      <c r="I163" s="6" t="n"/>
    </row>
    <row r="164">
      <c r="A164" s="29" t="n"/>
      <c r="B164" s="29" t="n"/>
      <c r="C164" s="29" t="n"/>
      <c r="D164" s="34" t="n"/>
      <c r="E164" s="29" t="n"/>
      <c r="F164" s="6" t="n"/>
      <c r="G164" s="6" t="n"/>
      <c r="H164" s="6" t="n"/>
      <c r="I164" s="6" t="n"/>
    </row>
    <row r="165">
      <c r="A165" s="29" t="n"/>
      <c r="B165" s="29" t="n"/>
      <c r="C165" s="29" t="n"/>
      <c r="D165" s="34" t="n"/>
      <c r="E165" s="29" t="n"/>
      <c r="F165" s="6" t="n"/>
      <c r="G165" s="6" t="n"/>
      <c r="H165" s="6" t="n"/>
      <c r="I165" s="6" t="n"/>
    </row>
    <row r="166">
      <c r="A166" s="29" t="n"/>
      <c r="B166" s="29" t="n"/>
      <c r="C166" s="29" t="n"/>
      <c r="D166" s="34" t="n"/>
      <c r="E166" s="29" t="n"/>
      <c r="F166" s="6" t="n"/>
      <c r="G166" s="6" t="n"/>
      <c r="H166" s="6" t="n"/>
      <c r="I166" s="6" t="n"/>
    </row>
    <row r="167">
      <c r="A167" s="29" t="n"/>
      <c r="B167" s="29" t="n"/>
      <c r="C167" s="29" t="n"/>
      <c r="D167" s="34" t="n"/>
      <c r="E167" s="29" t="n"/>
      <c r="F167" s="6" t="n"/>
      <c r="G167" s="6" t="n"/>
      <c r="H167" s="6" t="n"/>
      <c r="I167" s="6" t="n"/>
    </row>
    <row r="168">
      <c r="A168" s="29" t="n"/>
      <c r="B168" s="29" t="n"/>
      <c r="C168" s="29" t="n"/>
      <c r="D168" s="34" t="n"/>
      <c r="E168" s="29" t="n"/>
      <c r="F168" s="6" t="n"/>
      <c r="G168" s="6" t="n"/>
      <c r="H168" s="6" t="n"/>
      <c r="I168" s="6" t="n"/>
    </row>
    <row r="169">
      <c r="A169" s="29" t="n"/>
      <c r="B169" s="29" t="n"/>
      <c r="C169" s="29" t="n"/>
      <c r="D169" s="34" t="n"/>
      <c r="E169" s="29" t="n"/>
      <c r="F169" s="6" t="n"/>
      <c r="G169" s="6" t="n"/>
      <c r="H169" s="6" t="n"/>
      <c r="I169" s="6" t="n"/>
    </row>
    <row r="170">
      <c r="A170" s="29" t="n"/>
      <c r="B170" s="29" t="n"/>
      <c r="C170" s="29" t="n"/>
      <c r="D170" s="34" t="n"/>
      <c r="E170" s="29" t="n"/>
      <c r="F170" s="6" t="n"/>
      <c r="G170" s="6" t="n"/>
      <c r="H170" s="6" t="n"/>
      <c r="I170" s="6" t="n"/>
    </row>
    <row r="171">
      <c r="A171" s="29" t="n"/>
      <c r="B171" s="29" t="n"/>
      <c r="C171" s="29" t="n"/>
      <c r="D171" s="34" t="n"/>
      <c r="E171" s="29" t="n"/>
      <c r="F171" s="6" t="n"/>
      <c r="G171" s="6" t="n"/>
      <c r="H171" s="6" t="n"/>
      <c r="I171" s="6" t="n"/>
    </row>
    <row r="172">
      <c r="A172" s="29" t="n"/>
      <c r="B172" s="29" t="n"/>
      <c r="C172" s="29" t="n"/>
      <c r="D172" s="34" t="n"/>
      <c r="E172" s="29" t="n"/>
      <c r="F172" s="6" t="n"/>
      <c r="G172" s="6" t="n"/>
      <c r="H172" s="6" t="n"/>
      <c r="I172" s="6" t="n"/>
    </row>
    <row r="173">
      <c r="A173" s="29" t="n"/>
      <c r="B173" s="29" t="n"/>
      <c r="C173" s="29" t="n"/>
      <c r="D173" s="34" t="n"/>
      <c r="E173" s="29" t="n"/>
      <c r="F173" s="6" t="n"/>
      <c r="G173" s="6" t="n"/>
      <c r="H173" s="6" t="n"/>
      <c r="I173" s="6" t="n"/>
    </row>
    <row r="174">
      <c r="A174" s="29" t="n"/>
      <c r="B174" s="29" t="n"/>
      <c r="C174" s="29" t="n"/>
      <c r="D174" s="34" t="n"/>
      <c r="E174" s="29" t="n"/>
      <c r="F174" s="6" t="n"/>
      <c r="G174" s="6" t="n"/>
      <c r="H174" s="6" t="n"/>
      <c r="I174" s="6" t="n"/>
    </row>
    <row r="175">
      <c r="A175" s="29" t="n"/>
      <c r="B175" s="29" t="n"/>
      <c r="C175" s="29" t="n"/>
      <c r="D175" s="34" t="n"/>
      <c r="E175" s="29" t="n"/>
      <c r="F175" s="6" t="n"/>
      <c r="G175" s="6" t="n"/>
      <c r="H175" s="6" t="n"/>
      <c r="I175" s="6" t="n"/>
    </row>
    <row r="176">
      <c r="A176" s="29" t="n"/>
      <c r="B176" s="29" t="n"/>
      <c r="C176" s="29" t="n"/>
      <c r="D176" s="34" t="n"/>
      <c r="E176" s="29" t="n"/>
      <c r="F176" s="6" t="n"/>
      <c r="G176" s="6" t="n"/>
      <c r="H176" s="6" t="n"/>
      <c r="I176" s="6" t="n"/>
    </row>
    <row r="177">
      <c r="A177" s="29" t="n"/>
      <c r="B177" s="29" t="n"/>
      <c r="C177" s="29" t="n"/>
      <c r="D177" s="34" t="n"/>
      <c r="E177" s="29" t="n"/>
      <c r="F177" s="6" t="n"/>
      <c r="G177" s="6" t="n"/>
      <c r="H177" s="6" t="n"/>
      <c r="I177" s="6" t="n"/>
    </row>
    <row r="178">
      <c r="A178" s="29" t="n"/>
      <c r="B178" s="29" t="n"/>
      <c r="C178" s="29" t="n"/>
      <c r="D178" s="34" t="n"/>
      <c r="E178" s="29" t="n"/>
      <c r="F178" s="6" t="n"/>
      <c r="G178" s="6" t="n"/>
      <c r="H178" s="6" t="n"/>
      <c r="I178" s="6" t="n"/>
    </row>
    <row r="179">
      <c r="A179" s="29" t="n"/>
      <c r="B179" s="29" t="n"/>
      <c r="C179" s="29" t="n"/>
      <c r="D179" s="34" t="n"/>
      <c r="E179" s="29" t="n"/>
      <c r="F179" s="6" t="n"/>
      <c r="G179" s="6" t="n"/>
      <c r="H179" s="6" t="n"/>
      <c r="I179" s="6" t="n"/>
    </row>
    <row r="180">
      <c r="A180" s="29" t="n"/>
      <c r="B180" s="29" t="n"/>
      <c r="C180" s="29" t="n"/>
      <c r="D180" s="34" t="n"/>
      <c r="E180" s="29" t="n"/>
      <c r="F180" s="6" t="n"/>
      <c r="G180" s="6" t="n"/>
      <c r="H180" s="6" t="n"/>
      <c r="I180" s="6" t="n"/>
    </row>
    <row r="181">
      <c r="A181" s="29" t="n"/>
      <c r="B181" s="29" t="n"/>
      <c r="C181" s="29" t="n"/>
      <c r="D181" s="34" t="n"/>
      <c r="E181" s="29" t="n"/>
      <c r="F181" s="6" t="n"/>
      <c r="G181" s="6" t="n"/>
      <c r="H181" s="6" t="n"/>
      <c r="I181" s="6" t="n"/>
    </row>
    <row r="182">
      <c r="A182" s="29" t="n"/>
      <c r="B182" s="29" t="n"/>
      <c r="C182" s="29" t="n"/>
      <c r="D182" s="34" t="n"/>
      <c r="E182" s="29" t="n"/>
      <c r="F182" s="6" t="n"/>
      <c r="G182" s="6" t="n"/>
      <c r="H182" s="6" t="n"/>
      <c r="I182" s="6" t="n"/>
    </row>
    <row r="183">
      <c r="A183" s="29" t="n"/>
      <c r="B183" s="29" t="n"/>
      <c r="C183" s="29" t="n"/>
      <c r="D183" s="34" t="n"/>
      <c r="E183" s="29" t="n"/>
      <c r="F183" s="6" t="n"/>
      <c r="G183" s="6" t="n"/>
      <c r="H183" s="6" t="n"/>
      <c r="I183" s="6" t="n"/>
    </row>
    <row r="184">
      <c r="A184" s="29" t="n"/>
      <c r="B184" s="29" t="n"/>
      <c r="C184" s="29" t="n"/>
      <c r="D184" s="34" t="n"/>
      <c r="E184" s="29" t="n"/>
      <c r="F184" s="6" t="n"/>
      <c r="G184" s="6" t="n"/>
      <c r="H184" s="6" t="n"/>
      <c r="I184" s="6" t="n"/>
    </row>
    <row r="185">
      <c r="A185" s="29" t="n"/>
      <c r="B185" s="29" t="n"/>
      <c r="C185" s="29" t="n"/>
      <c r="D185" s="34" t="n"/>
      <c r="E185" s="29" t="n"/>
      <c r="F185" s="6" t="n"/>
      <c r="G185" s="6" t="n"/>
      <c r="H185" s="6" t="n"/>
      <c r="I185" s="6" t="n"/>
    </row>
    <row r="186">
      <c r="A186" s="29" t="n"/>
      <c r="B186" s="29" t="n"/>
      <c r="C186" s="29" t="n"/>
      <c r="D186" s="34" t="n"/>
      <c r="E186" s="29" t="n"/>
      <c r="F186" s="6" t="n"/>
      <c r="G186" s="6" t="n"/>
      <c r="H186" s="6" t="n"/>
      <c r="I186" s="6" t="n"/>
    </row>
    <row r="187">
      <c r="A187" s="29" t="n"/>
      <c r="B187" s="29" t="n"/>
      <c r="C187" s="29" t="n"/>
      <c r="D187" s="34" t="n"/>
      <c r="E187" s="29" t="n"/>
      <c r="F187" s="6" t="n"/>
      <c r="G187" s="6" t="n"/>
      <c r="H187" s="6" t="n"/>
      <c r="I187" s="6" t="n"/>
    </row>
    <row r="188">
      <c r="A188" s="29" t="n"/>
      <c r="B188" s="29" t="n"/>
      <c r="C188" s="29" t="n"/>
      <c r="D188" s="34" t="n"/>
      <c r="E188" s="29" t="n"/>
      <c r="F188" s="6" t="n"/>
      <c r="G188" s="6" t="n"/>
      <c r="H188" s="6" t="n"/>
      <c r="I188" s="6" t="n"/>
    </row>
    <row r="189">
      <c r="A189" s="29" t="n"/>
      <c r="B189" s="29" t="n"/>
      <c r="C189" s="29" t="n"/>
      <c r="D189" s="34" t="n"/>
      <c r="E189" s="29" t="n"/>
      <c r="F189" s="6" t="n"/>
      <c r="G189" s="6" t="n"/>
      <c r="H189" s="6" t="n"/>
      <c r="I189" s="6" t="n"/>
    </row>
    <row r="190">
      <c r="A190" s="29" t="n"/>
      <c r="B190" s="29" t="n"/>
      <c r="C190" s="29" t="n"/>
      <c r="D190" s="34" t="n"/>
      <c r="E190" s="29" t="n"/>
      <c r="F190" s="6" t="n"/>
      <c r="G190" s="6" t="n"/>
      <c r="H190" s="6" t="n"/>
      <c r="I190" s="6" t="n"/>
    </row>
    <row r="191">
      <c r="A191" s="29" t="n"/>
      <c r="B191" s="29" t="n"/>
      <c r="C191" s="29" t="n"/>
      <c r="D191" s="34" t="n"/>
      <c r="E191" s="29" t="n"/>
      <c r="F191" s="6" t="n"/>
      <c r="G191" s="6" t="n"/>
      <c r="H191" s="6" t="n"/>
      <c r="I191" s="6" t="n"/>
    </row>
    <row r="192">
      <c r="A192" s="29" t="n"/>
      <c r="B192" s="29" t="n"/>
      <c r="C192" s="29" t="n"/>
      <c r="D192" s="34" t="n"/>
      <c r="E192" s="29" t="n"/>
      <c r="F192" s="6" t="n"/>
      <c r="G192" s="6" t="n"/>
      <c r="H192" s="6" t="n"/>
      <c r="I192" s="6" t="n"/>
    </row>
    <row r="193">
      <c r="A193" s="29" t="n"/>
      <c r="B193" s="29" t="n"/>
      <c r="C193" s="29" t="n"/>
      <c r="D193" s="34" t="n"/>
      <c r="E193" s="29" t="n"/>
      <c r="F193" s="6" t="n"/>
      <c r="G193" s="6" t="n"/>
      <c r="H193" s="6" t="n"/>
      <c r="I193" s="6" t="n"/>
    </row>
    <row r="194">
      <c r="A194" s="29" t="n"/>
      <c r="B194" s="29" t="n"/>
      <c r="C194" s="29" t="n"/>
      <c r="D194" s="34" t="n"/>
      <c r="E194" s="29" t="n"/>
      <c r="F194" s="6" t="n"/>
      <c r="G194" s="6" t="n"/>
      <c r="H194" s="6" t="n"/>
      <c r="I194" s="6" t="n"/>
    </row>
    <row r="195">
      <c r="A195" s="29" t="n"/>
      <c r="B195" s="29" t="n"/>
      <c r="C195" s="29" t="n"/>
      <c r="D195" s="34" t="n"/>
      <c r="E195" s="29" t="n"/>
      <c r="F195" s="6" t="n"/>
      <c r="G195" s="6" t="n"/>
      <c r="H195" s="6" t="n"/>
      <c r="I195" s="6" t="n"/>
    </row>
    <row r="196">
      <c r="A196" s="29" t="n"/>
      <c r="B196" s="29" t="n"/>
      <c r="C196" s="29" t="n"/>
      <c r="D196" s="34" t="n"/>
      <c r="E196" s="29" t="n"/>
      <c r="F196" s="6" t="n"/>
      <c r="G196" s="6" t="n"/>
      <c r="H196" s="6" t="n"/>
      <c r="I196" s="6" t="n"/>
    </row>
    <row r="197">
      <c r="A197" s="29" t="n"/>
      <c r="B197" s="29" t="n"/>
      <c r="C197" s="29" t="n"/>
      <c r="D197" s="34" t="n"/>
      <c r="E197" s="29" t="n"/>
      <c r="F197" s="6" t="n"/>
      <c r="G197" s="6" t="n"/>
      <c r="H197" s="6" t="n"/>
      <c r="I197" s="6" t="n"/>
    </row>
    <row r="198">
      <c r="A198" s="29" t="n"/>
      <c r="B198" s="29" t="n"/>
      <c r="C198" s="29" t="n"/>
      <c r="D198" s="34" t="n"/>
      <c r="E198" s="29" t="n"/>
      <c r="F198" s="6" t="n"/>
      <c r="G198" s="6" t="n"/>
      <c r="H198" s="6" t="n"/>
      <c r="I198" s="6" t="n"/>
    </row>
    <row r="199">
      <c r="A199" s="29" t="n"/>
      <c r="B199" s="29" t="n"/>
      <c r="C199" s="29" t="n"/>
      <c r="D199" s="34" t="n"/>
      <c r="E199" s="29" t="n"/>
      <c r="F199" s="6" t="n"/>
      <c r="G199" s="6" t="n"/>
      <c r="H199" s="6" t="n"/>
      <c r="I199" s="6" t="n"/>
    </row>
    <row r="200">
      <c r="A200" s="29" t="n"/>
      <c r="B200" s="29" t="n"/>
      <c r="C200" s="29" t="n"/>
      <c r="D200" s="34" t="n"/>
      <c r="E200" s="29" t="n"/>
      <c r="F200" s="6" t="n"/>
      <c r="G200" s="6" t="n"/>
      <c r="H200" s="6" t="n"/>
      <c r="I200" s="6" t="n"/>
    </row>
    <row r="201">
      <c r="A201" s="29" t="n"/>
      <c r="B201" s="29" t="n"/>
      <c r="C201" s="29" t="n"/>
      <c r="D201" s="34" t="n"/>
      <c r="E201" s="29" t="n"/>
      <c r="F201" s="6" t="n"/>
      <c r="G201" s="6" t="n"/>
      <c r="H201" s="6" t="n"/>
      <c r="I201" s="6" t="n"/>
    </row>
  </sheetData>
  <autoFilter ref="A1:I201"/>
  <conditionalFormatting sqref="A2:I201">
    <cfRule type="expression" priority="10" dxfId="0">
      <formula>AND(MOD(ROW(),2)=0,$A2&lt;&gt;"")</formula>
    </cfRule>
  </conditionalFormatting>
  <conditionalFormatting sqref="A2:A201">
    <cfRule type="expression" priority="1" dxfId="2">
      <formula>AND($A2&lt;&gt;"",COUNTIF($A$2:$A$201,$A2)&gt;1)</formula>
    </cfRule>
  </conditionalFormatting>
  <conditionalFormatting sqref="B2:B201">
    <cfRule type="expression" priority="2" dxfId="2">
      <formula>AND($B2&lt;&gt;"",COUNTIF('Title Companies'!$A$2:$A$101,$B2)=0)</formula>
    </cfRule>
  </conditionalFormatting>
  <dataValidations count="1">
    <dataValidation sqref="B2:B201" showDropDown="0" showInputMessage="0" showErrorMessage="0" allowBlank="1" type="list">
      <formula1>TitleList</formula1>
    </dataValidation>
  </dataValidations>
  <printOptions gridLines="1"/>
  <pageMargins left="0.4" right="0.4" top="0.5" bottom="0.5" header="0.5" footer="0.5"/>
  <pageSetup orientation="landscape" paperSize="1" fitToHeight="0" fitToWidth="1"/>
  <headerFooter>
    <oddHeader/>
    <oddFooter>&amp;L&amp;A&amp;RPage &amp;P of &amp;N</oddFooter>
    <evenHeader/>
    <evenFooter/>
    <firstHeader/>
    <firstFooter/>
  </headerFooter>
</worksheet>
</file>

<file path=xl/worksheets/sheet5.xml><?xml version="1.0" encoding="utf-8"?>
<worksheet xmlns="http://schemas.openxmlformats.org/spreadsheetml/2006/main">
  <sheetPr>
    <tabColor rgb="005B8A6A"/>
    <outlinePr summaryBelow="1" summaryRight="1"/>
    <pageSetUpPr fitToPage="1"/>
  </sheetPr>
  <dimension ref="A1:K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4" customWidth="1" min="3" max="3"/>
    <col width="15" customWidth="1" min="4" max="4"/>
    <col width="30" customWidth="1" min="5" max="5"/>
    <col width="24" customWidth="1" min="6" max="6"/>
    <col width="28" customWidth="1" min="7" max="7"/>
    <col width="9" customWidth="1" min="8" max="8"/>
    <col width="50" customWidth="1" min="9" max="9"/>
    <col width="36" customWidth="1" min="10" max="10"/>
    <col hidden="1" width="26" customWidth="1" min="11" max="11"/>
  </cols>
  <sheetData>
    <row r="1" ht="30" customHeight="1">
      <c r="A1" s="27" t="inlineStr">
        <is>
          <t>Builder name</t>
        </is>
      </c>
      <c r="B1" s="27" t="inlineStr">
        <is>
          <t>Role</t>
        </is>
      </c>
      <c r="C1" s="27" t="inlineStr">
        <is>
          <t>Name</t>
        </is>
      </c>
      <c r="D1" s="27" t="inlineStr">
        <is>
          <t>Phone</t>
        </is>
      </c>
      <c r="E1" s="27" t="inlineStr">
        <is>
          <t>Email</t>
        </is>
      </c>
      <c r="F1" s="27" t="inlineStr">
        <is>
          <t>Other phones</t>
        </is>
      </c>
      <c r="G1" s="27" t="inlineStr">
        <is>
          <t>Other emails</t>
        </is>
      </c>
      <c r="H1" s="28" t="inlineStr">
        <is>
          <t>Always CC</t>
        </is>
      </c>
      <c r="I1" s="27" t="inlineStr">
        <is>
          <t>What they handle</t>
        </is>
      </c>
      <c r="J1" s="27" t="inlineStr">
        <is>
          <t>Notes</t>
        </is>
      </c>
      <c r="K1" s="27" t="inlineStr">
        <is>
          <t>Key (hidden, automatic)</t>
        </is>
      </c>
    </row>
    <row r="2">
      <c r="A2" s="29" t="n"/>
      <c r="B2" s="29" t="n"/>
      <c r="C2" s="29" t="n"/>
      <c r="D2" s="34" t="n"/>
      <c r="E2" s="29" t="n"/>
      <c r="F2" s="6" t="n"/>
      <c r="G2" s="6" t="n"/>
      <c r="H2" s="31" t="n"/>
      <c r="I2" s="6" t="n"/>
      <c r="J2" s="6" t="n"/>
      <c r="K2" s="17">
        <f>IF($A2="","",$A2&amp;"|"&amp;COUNTIF($A$2:$A2,$A2))</f>
        <v/>
      </c>
    </row>
    <row r="3">
      <c r="A3" s="29" t="n"/>
      <c r="B3" s="29" t="n"/>
      <c r="C3" s="29" t="n"/>
      <c r="D3" s="34" t="n"/>
      <c r="E3" s="29" t="n"/>
      <c r="F3" s="6" t="n"/>
      <c r="G3" s="6" t="n"/>
      <c r="H3" s="31" t="n"/>
      <c r="I3" s="6" t="n"/>
      <c r="J3" s="6" t="n"/>
      <c r="K3" s="17">
        <f>IF($A3="","",$A3&amp;"|"&amp;COUNTIF($A$2:$A3,$A3))</f>
        <v/>
      </c>
    </row>
    <row r="4">
      <c r="A4" s="29" t="n"/>
      <c r="B4" s="29" t="n"/>
      <c r="C4" s="29" t="n"/>
      <c r="D4" s="34" t="n"/>
      <c r="E4" s="29" t="n"/>
      <c r="F4" s="6" t="n"/>
      <c r="G4" s="6" t="n"/>
      <c r="H4" s="31" t="n"/>
      <c r="I4" s="6" t="n"/>
      <c r="J4" s="6" t="n"/>
      <c r="K4" s="17">
        <f>IF($A4="","",$A4&amp;"|"&amp;COUNTIF($A$2:$A4,$A4))</f>
        <v/>
      </c>
    </row>
    <row r="5">
      <c r="A5" s="29" t="n"/>
      <c r="B5" s="29" t="n"/>
      <c r="C5" s="29" t="n"/>
      <c r="D5" s="34" t="n"/>
      <c r="E5" s="29" t="n"/>
      <c r="F5" s="6" t="n"/>
      <c r="G5" s="6" t="n"/>
      <c r="H5" s="31" t="n"/>
      <c r="I5" s="6" t="n"/>
      <c r="J5" s="6" t="n"/>
      <c r="K5" s="17">
        <f>IF($A5="","",$A5&amp;"|"&amp;COUNTIF($A$2:$A5,$A5))</f>
        <v/>
      </c>
    </row>
    <row r="6">
      <c r="A6" s="29" t="n"/>
      <c r="B6" s="29" t="n"/>
      <c r="C6" s="29" t="n"/>
      <c r="D6" s="34" t="n"/>
      <c r="E6" s="29" t="n"/>
      <c r="F6" s="6" t="n"/>
      <c r="G6" s="6" t="n"/>
      <c r="H6" s="31" t="n"/>
      <c r="I6" s="6" t="n"/>
      <c r="J6" s="6" t="n"/>
      <c r="K6" s="17">
        <f>IF($A6="","",$A6&amp;"|"&amp;COUNTIF($A$2:$A6,$A6))</f>
        <v/>
      </c>
    </row>
    <row r="7">
      <c r="A7" s="29" t="n"/>
      <c r="B7" s="29" t="n"/>
      <c r="C7" s="29" t="n"/>
      <c r="D7" s="34" t="n"/>
      <c r="E7" s="29" t="n"/>
      <c r="F7" s="6" t="n"/>
      <c r="G7" s="6" t="n"/>
      <c r="H7" s="31" t="n"/>
      <c r="I7" s="6" t="n"/>
      <c r="J7" s="6" t="n"/>
      <c r="K7" s="17">
        <f>IF($A7="","",$A7&amp;"|"&amp;COUNTIF($A$2:$A7,$A7))</f>
        <v/>
      </c>
    </row>
    <row r="8">
      <c r="A8" s="29" t="n"/>
      <c r="B8" s="29" t="n"/>
      <c r="C8" s="29" t="n"/>
      <c r="D8" s="34" t="n"/>
      <c r="E8" s="29" t="n"/>
      <c r="F8" s="6" t="n"/>
      <c r="G8" s="6" t="n"/>
      <c r="H8" s="31" t="n"/>
      <c r="I8" s="6" t="n"/>
      <c r="J8" s="6" t="n"/>
      <c r="K8" s="17">
        <f>IF($A8="","",$A8&amp;"|"&amp;COUNTIF($A$2:$A8,$A8))</f>
        <v/>
      </c>
    </row>
    <row r="9">
      <c r="A9" s="29" t="n"/>
      <c r="B9" s="29" t="n"/>
      <c r="C9" s="29" t="n"/>
      <c r="D9" s="34" t="n"/>
      <c r="E9" s="29" t="n"/>
      <c r="F9" s="6" t="n"/>
      <c r="G9" s="6" t="n"/>
      <c r="H9" s="31" t="n"/>
      <c r="I9" s="6" t="n"/>
      <c r="J9" s="6" t="n"/>
      <c r="K9" s="17">
        <f>IF($A9="","",$A9&amp;"|"&amp;COUNTIF($A$2:$A9,$A9))</f>
        <v/>
      </c>
    </row>
    <row r="10">
      <c r="A10" s="29" t="n"/>
      <c r="B10" s="29" t="n"/>
      <c r="C10" s="29" t="n"/>
      <c r="D10" s="34" t="n"/>
      <c r="E10" s="29" t="n"/>
      <c r="F10" s="6" t="n"/>
      <c r="G10" s="6" t="n"/>
      <c r="H10" s="31" t="n"/>
      <c r="I10" s="6" t="n"/>
      <c r="J10" s="6" t="n"/>
      <c r="K10" s="17">
        <f>IF($A10="","",$A10&amp;"|"&amp;COUNTIF($A$2:$A10,$A10))</f>
        <v/>
      </c>
    </row>
    <row r="11">
      <c r="A11" s="29" t="n"/>
      <c r="B11" s="29" t="n"/>
      <c r="C11" s="29" t="n"/>
      <c r="D11" s="34" t="n"/>
      <c r="E11" s="29" t="n"/>
      <c r="F11" s="6" t="n"/>
      <c r="G11" s="6" t="n"/>
      <c r="H11" s="31" t="n"/>
      <c r="I11" s="6" t="n"/>
      <c r="J11" s="6" t="n"/>
      <c r="K11" s="17">
        <f>IF($A11="","",$A11&amp;"|"&amp;COUNTIF($A$2:$A11,$A11))</f>
        <v/>
      </c>
    </row>
    <row r="12">
      <c r="A12" s="29" t="n"/>
      <c r="B12" s="29" t="n"/>
      <c r="C12" s="29" t="n"/>
      <c r="D12" s="34" t="n"/>
      <c r="E12" s="29" t="n"/>
      <c r="F12" s="6" t="n"/>
      <c r="G12" s="6" t="n"/>
      <c r="H12" s="31" t="n"/>
      <c r="I12" s="6" t="n"/>
      <c r="J12" s="6" t="n"/>
      <c r="K12" s="17">
        <f>IF($A12="","",$A12&amp;"|"&amp;COUNTIF($A$2:$A12,$A12))</f>
        <v/>
      </c>
    </row>
    <row r="13">
      <c r="A13" s="29" t="n"/>
      <c r="B13" s="29" t="n"/>
      <c r="C13" s="29" t="n"/>
      <c r="D13" s="34" t="n"/>
      <c r="E13" s="29" t="n"/>
      <c r="F13" s="6" t="n"/>
      <c r="G13" s="6" t="n"/>
      <c r="H13" s="31" t="n"/>
      <c r="I13" s="6" t="n"/>
      <c r="J13" s="6" t="n"/>
      <c r="K13" s="17">
        <f>IF($A13="","",$A13&amp;"|"&amp;COUNTIF($A$2:$A13,$A13))</f>
        <v/>
      </c>
    </row>
    <row r="14">
      <c r="A14" s="29" t="n"/>
      <c r="B14" s="29" t="n"/>
      <c r="C14" s="29" t="n"/>
      <c r="D14" s="34" t="n"/>
      <c r="E14" s="29" t="n"/>
      <c r="F14" s="6" t="n"/>
      <c r="G14" s="6" t="n"/>
      <c r="H14" s="31" t="n"/>
      <c r="I14" s="6" t="n"/>
      <c r="J14" s="6" t="n"/>
      <c r="K14" s="17">
        <f>IF($A14="","",$A14&amp;"|"&amp;COUNTIF($A$2:$A14,$A14))</f>
        <v/>
      </c>
    </row>
    <row r="15">
      <c r="A15" s="29" t="n"/>
      <c r="B15" s="29" t="n"/>
      <c r="C15" s="29" t="n"/>
      <c r="D15" s="34" t="n"/>
      <c r="E15" s="29" t="n"/>
      <c r="F15" s="6" t="n"/>
      <c r="G15" s="6" t="n"/>
      <c r="H15" s="31" t="n"/>
      <c r="I15" s="6" t="n"/>
      <c r="J15" s="6" t="n"/>
      <c r="K15" s="17">
        <f>IF($A15="","",$A15&amp;"|"&amp;COUNTIF($A$2:$A15,$A15))</f>
        <v/>
      </c>
    </row>
    <row r="16">
      <c r="A16" s="29" t="n"/>
      <c r="B16" s="29" t="n"/>
      <c r="C16" s="29" t="n"/>
      <c r="D16" s="34" t="n"/>
      <c r="E16" s="29" t="n"/>
      <c r="F16" s="6" t="n"/>
      <c r="G16" s="6" t="n"/>
      <c r="H16" s="31" t="n"/>
      <c r="I16" s="6" t="n"/>
      <c r="J16" s="6" t="n"/>
      <c r="K16" s="17">
        <f>IF($A16="","",$A16&amp;"|"&amp;COUNTIF($A$2:$A16,$A16))</f>
        <v/>
      </c>
    </row>
    <row r="17">
      <c r="A17" s="29" t="n"/>
      <c r="B17" s="29" t="n"/>
      <c r="C17" s="29" t="n"/>
      <c r="D17" s="34" t="n"/>
      <c r="E17" s="29" t="n"/>
      <c r="F17" s="6" t="n"/>
      <c r="G17" s="6" t="n"/>
      <c r="H17" s="31" t="n"/>
      <c r="I17" s="6" t="n"/>
      <c r="J17" s="6" t="n"/>
      <c r="K17" s="17">
        <f>IF($A17="","",$A17&amp;"|"&amp;COUNTIF($A$2:$A17,$A17))</f>
        <v/>
      </c>
    </row>
    <row r="18">
      <c r="A18" s="29" t="n"/>
      <c r="B18" s="29" t="n"/>
      <c r="C18" s="29" t="n"/>
      <c r="D18" s="34" t="n"/>
      <c r="E18" s="29" t="n"/>
      <c r="F18" s="6" t="n"/>
      <c r="G18" s="6" t="n"/>
      <c r="H18" s="31" t="n"/>
      <c r="I18" s="6" t="n"/>
      <c r="J18" s="6" t="n"/>
      <c r="K18" s="17">
        <f>IF($A18="","",$A18&amp;"|"&amp;COUNTIF($A$2:$A18,$A18))</f>
        <v/>
      </c>
    </row>
    <row r="19">
      <c r="A19" s="29" t="n"/>
      <c r="B19" s="29" t="n"/>
      <c r="C19" s="29" t="n"/>
      <c r="D19" s="34" t="n"/>
      <c r="E19" s="29" t="n"/>
      <c r="F19" s="6" t="n"/>
      <c r="G19" s="6" t="n"/>
      <c r="H19" s="31" t="n"/>
      <c r="I19" s="6" t="n"/>
      <c r="J19" s="6" t="n"/>
      <c r="K19" s="17">
        <f>IF($A19="","",$A19&amp;"|"&amp;COUNTIF($A$2:$A19,$A19))</f>
        <v/>
      </c>
    </row>
    <row r="20">
      <c r="A20" s="29" t="n"/>
      <c r="B20" s="29" t="n"/>
      <c r="C20" s="29" t="n"/>
      <c r="D20" s="34" t="n"/>
      <c r="E20" s="29" t="n"/>
      <c r="F20" s="6" t="n"/>
      <c r="G20" s="6" t="n"/>
      <c r="H20" s="31" t="n"/>
      <c r="I20" s="6" t="n"/>
      <c r="J20" s="6" t="n"/>
      <c r="K20" s="17">
        <f>IF($A20="","",$A20&amp;"|"&amp;COUNTIF($A$2:$A20,$A20))</f>
        <v/>
      </c>
    </row>
    <row r="21">
      <c r="A21" s="29" t="n"/>
      <c r="B21" s="29" t="n"/>
      <c r="C21" s="29" t="n"/>
      <c r="D21" s="34" t="n"/>
      <c r="E21" s="29" t="n"/>
      <c r="F21" s="6" t="n"/>
      <c r="G21" s="6" t="n"/>
      <c r="H21" s="31" t="n"/>
      <c r="I21" s="6" t="n"/>
      <c r="J21" s="6" t="n"/>
      <c r="K21" s="17">
        <f>IF($A21="","",$A21&amp;"|"&amp;COUNTIF($A$2:$A21,$A21))</f>
        <v/>
      </c>
    </row>
    <row r="22">
      <c r="A22" s="29" t="n"/>
      <c r="B22" s="29" t="n"/>
      <c r="C22" s="29" t="n"/>
      <c r="D22" s="34" t="n"/>
      <c r="E22" s="29" t="n"/>
      <c r="F22" s="6" t="n"/>
      <c r="G22" s="6" t="n"/>
      <c r="H22" s="31" t="n"/>
      <c r="I22" s="6" t="n"/>
      <c r="J22" s="6" t="n"/>
      <c r="K22" s="17">
        <f>IF($A22="","",$A22&amp;"|"&amp;COUNTIF($A$2:$A22,$A22))</f>
        <v/>
      </c>
    </row>
    <row r="23">
      <c r="A23" s="29" t="n"/>
      <c r="B23" s="29" t="n"/>
      <c r="C23" s="29" t="n"/>
      <c r="D23" s="34" t="n"/>
      <c r="E23" s="29" t="n"/>
      <c r="F23" s="6" t="n"/>
      <c r="G23" s="6" t="n"/>
      <c r="H23" s="31" t="n"/>
      <c r="I23" s="6" t="n"/>
      <c r="J23" s="6" t="n"/>
      <c r="K23" s="17">
        <f>IF($A23="","",$A23&amp;"|"&amp;COUNTIF($A$2:$A23,$A23))</f>
        <v/>
      </c>
    </row>
    <row r="24">
      <c r="A24" s="29" t="n"/>
      <c r="B24" s="29" t="n"/>
      <c r="C24" s="29" t="n"/>
      <c r="D24" s="34" t="n"/>
      <c r="E24" s="29" t="n"/>
      <c r="F24" s="6" t="n"/>
      <c r="G24" s="6" t="n"/>
      <c r="H24" s="31" t="n"/>
      <c r="I24" s="6" t="n"/>
      <c r="J24" s="6" t="n"/>
      <c r="K24" s="17">
        <f>IF($A24="","",$A24&amp;"|"&amp;COUNTIF($A$2:$A24,$A24))</f>
        <v/>
      </c>
    </row>
    <row r="25">
      <c r="A25" s="29" t="n"/>
      <c r="B25" s="29" t="n"/>
      <c r="C25" s="29" t="n"/>
      <c r="D25" s="34" t="n"/>
      <c r="E25" s="29" t="n"/>
      <c r="F25" s="6" t="n"/>
      <c r="G25" s="6" t="n"/>
      <c r="H25" s="31" t="n"/>
      <c r="I25" s="6" t="n"/>
      <c r="J25" s="6" t="n"/>
      <c r="K25" s="17">
        <f>IF($A25="","",$A25&amp;"|"&amp;COUNTIF($A$2:$A25,$A25))</f>
        <v/>
      </c>
    </row>
    <row r="26">
      <c r="A26" s="29" t="n"/>
      <c r="B26" s="29" t="n"/>
      <c r="C26" s="29" t="n"/>
      <c r="D26" s="34" t="n"/>
      <c r="E26" s="29" t="n"/>
      <c r="F26" s="6" t="n"/>
      <c r="G26" s="6" t="n"/>
      <c r="H26" s="31" t="n"/>
      <c r="I26" s="6" t="n"/>
      <c r="J26" s="6" t="n"/>
      <c r="K26" s="17">
        <f>IF($A26="","",$A26&amp;"|"&amp;COUNTIF($A$2:$A26,$A26))</f>
        <v/>
      </c>
    </row>
    <row r="27">
      <c r="A27" s="29" t="n"/>
      <c r="B27" s="29" t="n"/>
      <c r="C27" s="29" t="n"/>
      <c r="D27" s="34" t="n"/>
      <c r="E27" s="29" t="n"/>
      <c r="F27" s="6" t="n"/>
      <c r="G27" s="6" t="n"/>
      <c r="H27" s="31" t="n"/>
      <c r="I27" s="6" t="n"/>
      <c r="J27" s="6" t="n"/>
      <c r="K27" s="17">
        <f>IF($A27="","",$A27&amp;"|"&amp;COUNTIF($A$2:$A27,$A27))</f>
        <v/>
      </c>
    </row>
    <row r="28">
      <c r="A28" s="29" t="n"/>
      <c r="B28" s="29" t="n"/>
      <c r="C28" s="29" t="n"/>
      <c r="D28" s="34" t="n"/>
      <c r="E28" s="29" t="n"/>
      <c r="F28" s="6" t="n"/>
      <c r="G28" s="6" t="n"/>
      <c r="H28" s="31" t="n"/>
      <c r="I28" s="6" t="n"/>
      <c r="J28" s="6" t="n"/>
      <c r="K28" s="17">
        <f>IF($A28="","",$A28&amp;"|"&amp;COUNTIF($A$2:$A28,$A28))</f>
        <v/>
      </c>
    </row>
    <row r="29">
      <c r="A29" s="29" t="n"/>
      <c r="B29" s="29" t="n"/>
      <c r="C29" s="29" t="n"/>
      <c r="D29" s="34" t="n"/>
      <c r="E29" s="29" t="n"/>
      <c r="F29" s="6" t="n"/>
      <c r="G29" s="6" t="n"/>
      <c r="H29" s="31" t="n"/>
      <c r="I29" s="6" t="n"/>
      <c r="J29" s="6" t="n"/>
      <c r="K29" s="17">
        <f>IF($A29="","",$A29&amp;"|"&amp;COUNTIF($A$2:$A29,$A29))</f>
        <v/>
      </c>
    </row>
    <row r="30">
      <c r="A30" s="29" t="n"/>
      <c r="B30" s="29" t="n"/>
      <c r="C30" s="29" t="n"/>
      <c r="D30" s="34" t="n"/>
      <c r="E30" s="29" t="n"/>
      <c r="F30" s="6" t="n"/>
      <c r="G30" s="6" t="n"/>
      <c r="H30" s="31" t="n"/>
      <c r="I30" s="6" t="n"/>
      <c r="J30" s="6" t="n"/>
      <c r="K30" s="17">
        <f>IF($A30="","",$A30&amp;"|"&amp;COUNTIF($A$2:$A30,$A30))</f>
        <v/>
      </c>
    </row>
    <row r="31">
      <c r="A31" s="29" t="n"/>
      <c r="B31" s="29" t="n"/>
      <c r="C31" s="29" t="n"/>
      <c r="D31" s="34" t="n"/>
      <c r="E31" s="29" t="n"/>
      <c r="F31" s="6" t="n"/>
      <c r="G31" s="6" t="n"/>
      <c r="H31" s="31" t="n"/>
      <c r="I31" s="6" t="n"/>
      <c r="J31" s="6" t="n"/>
      <c r="K31" s="17">
        <f>IF($A31="","",$A31&amp;"|"&amp;COUNTIF($A$2:$A31,$A31))</f>
        <v/>
      </c>
    </row>
    <row r="32">
      <c r="A32" s="29" t="n"/>
      <c r="B32" s="29" t="n"/>
      <c r="C32" s="29" t="n"/>
      <c r="D32" s="34" t="n"/>
      <c r="E32" s="29" t="n"/>
      <c r="F32" s="6" t="n"/>
      <c r="G32" s="6" t="n"/>
      <c r="H32" s="31" t="n"/>
      <c r="I32" s="6" t="n"/>
      <c r="J32" s="6" t="n"/>
      <c r="K32" s="17">
        <f>IF($A32="","",$A32&amp;"|"&amp;COUNTIF($A$2:$A32,$A32))</f>
        <v/>
      </c>
    </row>
    <row r="33">
      <c r="A33" s="29" t="n"/>
      <c r="B33" s="29" t="n"/>
      <c r="C33" s="29" t="n"/>
      <c r="D33" s="34" t="n"/>
      <c r="E33" s="29" t="n"/>
      <c r="F33" s="6" t="n"/>
      <c r="G33" s="6" t="n"/>
      <c r="H33" s="31" t="n"/>
      <c r="I33" s="6" t="n"/>
      <c r="J33" s="6" t="n"/>
      <c r="K33" s="17">
        <f>IF($A33="","",$A33&amp;"|"&amp;COUNTIF($A$2:$A33,$A33))</f>
        <v/>
      </c>
    </row>
    <row r="34">
      <c r="A34" s="29" t="n"/>
      <c r="B34" s="29" t="n"/>
      <c r="C34" s="29" t="n"/>
      <c r="D34" s="34" t="n"/>
      <c r="E34" s="29" t="n"/>
      <c r="F34" s="6" t="n"/>
      <c r="G34" s="6" t="n"/>
      <c r="H34" s="31" t="n"/>
      <c r="I34" s="6" t="n"/>
      <c r="J34" s="6" t="n"/>
      <c r="K34" s="17">
        <f>IF($A34="","",$A34&amp;"|"&amp;COUNTIF($A$2:$A34,$A34))</f>
        <v/>
      </c>
    </row>
    <row r="35">
      <c r="A35" s="29" t="n"/>
      <c r="B35" s="29" t="n"/>
      <c r="C35" s="29" t="n"/>
      <c r="D35" s="34" t="n"/>
      <c r="E35" s="29" t="n"/>
      <c r="F35" s="6" t="n"/>
      <c r="G35" s="6" t="n"/>
      <c r="H35" s="31" t="n"/>
      <c r="I35" s="6" t="n"/>
      <c r="J35" s="6" t="n"/>
      <c r="K35" s="17">
        <f>IF($A35="","",$A35&amp;"|"&amp;COUNTIF($A$2:$A35,$A35))</f>
        <v/>
      </c>
    </row>
    <row r="36">
      <c r="A36" s="29" t="n"/>
      <c r="B36" s="29" t="n"/>
      <c r="C36" s="29" t="n"/>
      <c r="D36" s="34" t="n"/>
      <c r="E36" s="29" t="n"/>
      <c r="F36" s="6" t="n"/>
      <c r="G36" s="6" t="n"/>
      <c r="H36" s="31" t="n"/>
      <c r="I36" s="6" t="n"/>
      <c r="J36" s="6" t="n"/>
      <c r="K36" s="17">
        <f>IF($A36="","",$A36&amp;"|"&amp;COUNTIF($A$2:$A36,$A36))</f>
        <v/>
      </c>
    </row>
    <row r="37">
      <c r="A37" s="29" t="n"/>
      <c r="B37" s="29" t="n"/>
      <c r="C37" s="29" t="n"/>
      <c r="D37" s="34" t="n"/>
      <c r="E37" s="29" t="n"/>
      <c r="F37" s="6" t="n"/>
      <c r="G37" s="6" t="n"/>
      <c r="H37" s="31" t="n"/>
      <c r="I37" s="6" t="n"/>
      <c r="J37" s="6" t="n"/>
      <c r="K37" s="17">
        <f>IF($A37="","",$A37&amp;"|"&amp;COUNTIF($A$2:$A37,$A37))</f>
        <v/>
      </c>
    </row>
    <row r="38">
      <c r="A38" s="29" t="n"/>
      <c r="B38" s="29" t="n"/>
      <c r="C38" s="29" t="n"/>
      <c r="D38" s="34" t="n"/>
      <c r="E38" s="29" t="n"/>
      <c r="F38" s="6" t="n"/>
      <c r="G38" s="6" t="n"/>
      <c r="H38" s="31" t="n"/>
      <c r="I38" s="6" t="n"/>
      <c r="J38" s="6" t="n"/>
      <c r="K38" s="17">
        <f>IF($A38="","",$A38&amp;"|"&amp;COUNTIF($A$2:$A38,$A38))</f>
        <v/>
      </c>
    </row>
    <row r="39">
      <c r="A39" s="29" t="n"/>
      <c r="B39" s="29" t="n"/>
      <c r="C39" s="29" t="n"/>
      <c r="D39" s="34" t="n"/>
      <c r="E39" s="29" t="n"/>
      <c r="F39" s="6" t="n"/>
      <c r="G39" s="6" t="n"/>
      <c r="H39" s="31" t="n"/>
      <c r="I39" s="6" t="n"/>
      <c r="J39" s="6" t="n"/>
      <c r="K39" s="17">
        <f>IF($A39="","",$A39&amp;"|"&amp;COUNTIF($A$2:$A39,$A39))</f>
        <v/>
      </c>
    </row>
    <row r="40">
      <c r="A40" s="29" t="n"/>
      <c r="B40" s="29" t="n"/>
      <c r="C40" s="29" t="n"/>
      <c r="D40" s="34" t="n"/>
      <c r="E40" s="29" t="n"/>
      <c r="F40" s="6" t="n"/>
      <c r="G40" s="6" t="n"/>
      <c r="H40" s="31" t="n"/>
      <c r="I40" s="6" t="n"/>
      <c r="J40" s="6" t="n"/>
      <c r="K40" s="17">
        <f>IF($A40="","",$A40&amp;"|"&amp;COUNTIF($A$2:$A40,$A40))</f>
        <v/>
      </c>
    </row>
    <row r="41">
      <c r="A41" s="29" t="n"/>
      <c r="B41" s="29" t="n"/>
      <c r="C41" s="29" t="n"/>
      <c r="D41" s="34" t="n"/>
      <c r="E41" s="29" t="n"/>
      <c r="F41" s="6" t="n"/>
      <c r="G41" s="6" t="n"/>
      <c r="H41" s="31" t="n"/>
      <c r="I41" s="6" t="n"/>
      <c r="J41" s="6" t="n"/>
      <c r="K41" s="17">
        <f>IF($A41="","",$A41&amp;"|"&amp;COUNTIF($A$2:$A41,$A41))</f>
        <v/>
      </c>
    </row>
    <row r="42">
      <c r="A42" s="29" t="n"/>
      <c r="B42" s="29" t="n"/>
      <c r="C42" s="29" t="n"/>
      <c r="D42" s="34" t="n"/>
      <c r="E42" s="29" t="n"/>
      <c r="F42" s="6" t="n"/>
      <c r="G42" s="6" t="n"/>
      <c r="H42" s="31" t="n"/>
      <c r="I42" s="6" t="n"/>
      <c r="J42" s="6" t="n"/>
      <c r="K42" s="17">
        <f>IF($A42="","",$A42&amp;"|"&amp;COUNTIF($A$2:$A42,$A42))</f>
        <v/>
      </c>
    </row>
    <row r="43">
      <c r="A43" s="29" t="n"/>
      <c r="B43" s="29" t="n"/>
      <c r="C43" s="29" t="n"/>
      <c r="D43" s="34" t="n"/>
      <c r="E43" s="29" t="n"/>
      <c r="F43" s="6" t="n"/>
      <c r="G43" s="6" t="n"/>
      <c r="H43" s="31" t="n"/>
      <c r="I43" s="6" t="n"/>
      <c r="J43" s="6" t="n"/>
      <c r="K43" s="17">
        <f>IF($A43="","",$A43&amp;"|"&amp;COUNTIF($A$2:$A43,$A43))</f>
        <v/>
      </c>
    </row>
    <row r="44">
      <c r="A44" s="29" t="n"/>
      <c r="B44" s="29" t="n"/>
      <c r="C44" s="29" t="n"/>
      <c r="D44" s="34" t="n"/>
      <c r="E44" s="29" t="n"/>
      <c r="F44" s="6" t="n"/>
      <c r="G44" s="6" t="n"/>
      <c r="H44" s="31" t="n"/>
      <c r="I44" s="6" t="n"/>
      <c r="J44" s="6" t="n"/>
      <c r="K44" s="17">
        <f>IF($A44="","",$A44&amp;"|"&amp;COUNTIF($A$2:$A44,$A44))</f>
        <v/>
      </c>
    </row>
    <row r="45">
      <c r="A45" s="29" t="n"/>
      <c r="B45" s="29" t="n"/>
      <c r="C45" s="29" t="n"/>
      <c r="D45" s="34" t="n"/>
      <c r="E45" s="29" t="n"/>
      <c r="F45" s="6" t="n"/>
      <c r="G45" s="6" t="n"/>
      <c r="H45" s="31" t="n"/>
      <c r="I45" s="6" t="n"/>
      <c r="J45" s="6" t="n"/>
      <c r="K45" s="17">
        <f>IF($A45="","",$A45&amp;"|"&amp;COUNTIF($A$2:$A45,$A45))</f>
        <v/>
      </c>
    </row>
    <row r="46">
      <c r="A46" s="29" t="n"/>
      <c r="B46" s="29" t="n"/>
      <c r="C46" s="29" t="n"/>
      <c r="D46" s="34" t="n"/>
      <c r="E46" s="29" t="n"/>
      <c r="F46" s="6" t="n"/>
      <c r="G46" s="6" t="n"/>
      <c r="H46" s="31" t="n"/>
      <c r="I46" s="6" t="n"/>
      <c r="J46" s="6" t="n"/>
      <c r="K46" s="17">
        <f>IF($A46="","",$A46&amp;"|"&amp;COUNTIF($A$2:$A46,$A46))</f>
        <v/>
      </c>
    </row>
    <row r="47">
      <c r="A47" s="29" t="n"/>
      <c r="B47" s="29" t="n"/>
      <c r="C47" s="29" t="n"/>
      <c r="D47" s="34" t="n"/>
      <c r="E47" s="29" t="n"/>
      <c r="F47" s="6" t="n"/>
      <c r="G47" s="6" t="n"/>
      <c r="H47" s="31" t="n"/>
      <c r="I47" s="6" t="n"/>
      <c r="J47" s="6" t="n"/>
      <c r="K47" s="17">
        <f>IF($A47="","",$A47&amp;"|"&amp;COUNTIF($A$2:$A47,$A47))</f>
        <v/>
      </c>
    </row>
    <row r="48">
      <c r="A48" s="29" t="n"/>
      <c r="B48" s="29" t="n"/>
      <c r="C48" s="29" t="n"/>
      <c r="D48" s="34" t="n"/>
      <c r="E48" s="29" t="n"/>
      <c r="F48" s="6" t="n"/>
      <c r="G48" s="6" t="n"/>
      <c r="H48" s="31" t="n"/>
      <c r="I48" s="6" t="n"/>
      <c r="J48" s="6" t="n"/>
      <c r="K48" s="17">
        <f>IF($A48="","",$A48&amp;"|"&amp;COUNTIF($A$2:$A48,$A48))</f>
        <v/>
      </c>
    </row>
    <row r="49">
      <c r="A49" s="29" t="n"/>
      <c r="B49" s="29" t="n"/>
      <c r="C49" s="29" t="n"/>
      <c r="D49" s="34" t="n"/>
      <c r="E49" s="29" t="n"/>
      <c r="F49" s="6" t="n"/>
      <c r="G49" s="6" t="n"/>
      <c r="H49" s="31" t="n"/>
      <c r="I49" s="6" t="n"/>
      <c r="J49" s="6" t="n"/>
      <c r="K49" s="17">
        <f>IF($A49="","",$A49&amp;"|"&amp;COUNTIF($A$2:$A49,$A49))</f>
        <v/>
      </c>
    </row>
    <row r="50">
      <c r="A50" s="29" t="n"/>
      <c r="B50" s="29" t="n"/>
      <c r="C50" s="29" t="n"/>
      <c r="D50" s="34" t="n"/>
      <c r="E50" s="29" t="n"/>
      <c r="F50" s="6" t="n"/>
      <c r="G50" s="6" t="n"/>
      <c r="H50" s="31" t="n"/>
      <c r="I50" s="6" t="n"/>
      <c r="J50" s="6" t="n"/>
      <c r="K50" s="17">
        <f>IF($A50="","",$A50&amp;"|"&amp;COUNTIF($A$2:$A50,$A50))</f>
        <v/>
      </c>
    </row>
    <row r="51">
      <c r="A51" s="29" t="n"/>
      <c r="B51" s="29" t="n"/>
      <c r="C51" s="29" t="n"/>
      <c r="D51" s="34" t="n"/>
      <c r="E51" s="29" t="n"/>
      <c r="F51" s="6" t="n"/>
      <c r="G51" s="6" t="n"/>
      <c r="H51" s="31" t="n"/>
      <c r="I51" s="6" t="n"/>
      <c r="J51" s="6" t="n"/>
      <c r="K51" s="17">
        <f>IF($A51="","",$A51&amp;"|"&amp;COUNTIF($A$2:$A51,$A51))</f>
        <v/>
      </c>
    </row>
    <row r="52">
      <c r="A52" s="29" t="n"/>
      <c r="B52" s="29" t="n"/>
      <c r="C52" s="29" t="n"/>
      <c r="D52" s="34" t="n"/>
      <c r="E52" s="29" t="n"/>
      <c r="F52" s="6" t="n"/>
      <c r="G52" s="6" t="n"/>
      <c r="H52" s="31" t="n"/>
      <c r="I52" s="6" t="n"/>
      <c r="J52" s="6" t="n"/>
      <c r="K52" s="17">
        <f>IF($A52="","",$A52&amp;"|"&amp;COUNTIF($A$2:$A52,$A52))</f>
        <v/>
      </c>
    </row>
    <row r="53">
      <c r="A53" s="29" t="n"/>
      <c r="B53" s="29" t="n"/>
      <c r="C53" s="29" t="n"/>
      <c r="D53" s="34" t="n"/>
      <c r="E53" s="29" t="n"/>
      <c r="F53" s="6" t="n"/>
      <c r="G53" s="6" t="n"/>
      <c r="H53" s="31" t="n"/>
      <c r="I53" s="6" t="n"/>
      <c r="J53" s="6" t="n"/>
      <c r="K53" s="17">
        <f>IF($A53="","",$A53&amp;"|"&amp;COUNTIF($A$2:$A53,$A53))</f>
        <v/>
      </c>
    </row>
    <row r="54">
      <c r="A54" s="29" t="n"/>
      <c r="B54" s="29" t="n"/>
      <c r="C54" s="29" t="n"/>
      <c r="D54" s="34" t="n"/>
      <c r="E54" s="29" t="n"/>
      <c r="F54" s="6" t="n"/>
      <c r="G54" s="6" t="n"/>
      <c r="H54" s="31" t="n"/>
      <c r="I54" s="6" t="n"/>
      <c r="J54" s="6" t="n"/>
      <c r="K54" s="17">
        <f>IF($A54="","",$A54&amp;"|"&amp;COUNTIF($A$2:$A54,$A54))</f>
        <v/>
      </c>
    </row>
    <row r="55">
      <c r="A55" s="29" t="n"/>
      <c r="B55" s="29" t="n"/>
      <c r="C55" s="29" t="n"/>
      <c r="D55" s="34" t="n"/>
      <c r="E55" s="29" t="n"/>
      <c r="F55" s="6" t="n"/>
      <c r="G55" s="6" t="n"/>
      <c r="H55" s="31" t="n"/>
      <c r="I55" s="6" t="n"/>
      <c r="J55" s="6" t="n"/>
      <c r="K55" s="17">
        <f>IF($A55="","",$A55&amp;"|"&amp;COUNTIF($A$2:$A55,$A55))</f>
        <v/>
      </c>
    </row>
    <row r="56">
      <c r="A56" s="29" t="n"/>
      <c r="B56" s="29" t="n"/>
      <c r="C56" s="29" t="n"/>
      <c r="D56" s="34" t="n"/>
      <c r="E56" s="29" t="n"/>
      <c r="F56" s="6" t="n"/>
      <c r="G56" s="6" t="n"/>
      <c r="H56" s="31" t="n"/>
      <c r="I56" s="6" t="n"/>
      <c r="J56" s="6" t="n"/>
      <c r="K56" s="17">
        <f>IF($A56="","",$A56&amp;"|"&amp;COUNTIF($A$2:$A56,$A56))</f>
        <v/>
      </c>
    </row>
    <row r="57">
      <c r="A57" s="29" t="n"/>
      <c r="B57" s="29" t="n"/>
      <c r="C57" s="29" t="n"/>
      <c r="D57" s="34" t="n"/>
      <c r="E57" s="29" t="n"/>
      <c r="F57" s="6" t="n"/>
      <c r="G57" s="6" t="n"/>
      <c r="H57" s="31" t="n"/>
      <c r="I57" s="6" t="n"/>
      <c r="J57" s="6" t="n"/>
      <c r="K57" s="17">
        <f>IF($A57="","",$A57&amp;"|"&amp;COUNTIF($A$2:$A57,$A57))</f>
        <v/>
      </c>
    </row>
    <row r="58">
      <c r="A58" s="29" t="n"/>
      <c r="B58" s="29" t="n"/>
      <c r="C58" s="29" t="n"/>
      <c r="D58" s="34" t="n"/>
      <c r="E58" s="29" t="n"/>
      <c r="F58" s="6" t="n"/>
      <c r="G58" s="6" t="n"/>
      <c r="H58" s="31" t="n"/>
      <c r="I58" s="6" t="n"/>
      <c r="J58" s="6" t="n"/>
      <c r="K58" s="17">
        <f>IF($A58="","",$A58&amp;"|"&amp;COUNTIF($A$2:$A58,$A58))</f>
        <v/>
      </c>
    </row>
    <row r="59">
      <c r="A59" s="29" t="n"/>
      <c r="B59" s="29" t="n"/>
      <c r="C59" s="29" t="n"/>
      <c r="D59" s="34" t="n"/>
      <c r="E59" s="29" t="n"/>
      <c r="F59" s="6" t="n"/>
      <c r="G59" s="6" t="n"/>
      <c r="H59" s="31" t="n"/>
      <c r="I59" s="6" t="n"/>
      <c r="J59" s="6" t="n"/>
      <c r="K59" s="17">
        <f>IF($A59="","",$A59&amp;"|"&amp;COUNTIF($A$2:$A59,$A59))</f>
        <v/>
      </c>
    </row>
    <row r="60">
      <c r="A60" s="29" t="n"/>
      <c r="B60" s="29" t="n"/>
      <c r="C60" s="29" t="n"/>
      <c r="D60" s="34" t="n"/>
      <c r="E60" s="29" t="n"/>
      <c r="F60" s="6" t="n"/>
      <c r="G60" s="6" t="n"/>
      <c r="H60" s="31" t="n"/>
      <c r="I60" s="6" t="n"/>
      <c r="J60" s="6" t="n"/>
      <c r="K60" s="17">
        <f>IF($A60="","",$A60&amp;"|"&amp;COUNTIF($A$2:$A60,$A60))</f>
        <v/>
      </c>
    </row>
    <row r="61">
      <c r="A61" s="29" t="n"/>
      <c r="B61" s="29" t="n"/>
      <c r="C61" s="29" t="n"/>
      <c r="D61" s="34" t="n"/>
      <c r="E61" s="29" t="n"/>
      <c r="F61" s="6" t="n"/>
      <c r="G61" s="6" t="n"/>
      <c r="H61" s="31" t="n"/>
      <c r="I61" s="6" t="n"/>
      <c r="J61" s="6" t="n"/>
      <c r="K61" s="17">
        <f>IF($A61="","",$A61&amp;"|"&amp;COUNTIF($A$2:$A61,$A61))</f>
        <v/>
      </c>
    </row>
    <row r="62">
      <c r="A62" s="29" t="n"/>
      <c r="B62" s="29" t="n"/>
      <c r="C62" s="29" t="n"/>
      <c r="D62" s="34" t="n"/>
      <c r="E62" s="29" t="n"/>
      <c r="F62" s="6" t="n"/>
      <c r="G62" s="6" t="n"/>
      <c r="H62" s="31" t="n"/>
      <c r="I62" s="6" t="n"/>
      <c r="J62" s="6" t="n"/>
      <c r="K62" s="17">
        <f>IF($A62="","",$A62&amp;"|"&amp;COUNTIF($A$2:$A62,$A62))</f>
        <v/>
      </c>
    </row>
    <row r="63">
      <c r="A63" s="29" t="n"/>
      <c r="B63" s="29" t="n"/>
      <c r="C63" s="29" t="n"/>
      <c r="D63" s="34" t="n"/>
      <c r="E63" s="29" t="n"/>
      <c r="F63" s="6" t="n"/>
      <c r="G63" s="6" t="n"/>
      <c r="H63" s="31" t="n"/>
      <c r="I63" s="6" t="n"/>
      <c r="J63" s="6" t="n"/>
      <c r="K63" s="17">
        <f>IF($A63="","",$A63&amp;"|"&amp;COUNTIF($A$2:$A63,$A63))</f>
        <v/>
      </c>
    </row>
    <row r="64">
      <c r="A64" s="29" t="n"/>
      <c r="B64" s="29" t="n"/>
      <c r="C64" s="29" t="n"/>
      <c r="D64" s="34" t="n"/>
      <c r="E64" s="29" t="n"/>
      <c r="F64" s="6" t="n"/>
      <c r="G64" s="6" t="n"/>
      <c r="H64" s="31" t="n"/>
      <c r="I64" s="6" t="n"/>
      <c r="J64" s="6" t="n"/>
      <c r="K64" s="17">
        <f>IF($A64="","",$A64&amp;"|"&amp;COUNTIF($A$2:$A64,$A64))</f>
        <v/>
      </c>
    </row>
    <row r="65">
      <c r="A65" s="29" t="n"/>
      <c r="B65" s="29" t="n"/>
      <c r="C65" s="29" t="n"/>
      <c r="D65" s="34" t="n"/>
      <c r="E65" s="29" t="n"/>
      <c r="F65" s="6" t="n"/>
      <c r="G65" s="6" t="n"/>
      <c r="H65" s="31" t="n"/>
      <c r="I65" s="6" t="n"/>
      <c r="J65" s="6" t="n"/>
      <c r="K65" s="17">
        <f>IF($A65="","",$A65&amp;"|"&amp;COUNTIF($A$2:$A65,$A65))</f>
        <v/>
      </c>
    </row>
    <row r="66">
      <c r="A66" s="29" t="n"/>
      <c r="B66" s="29" t="n"/>
      <c r="C66" s="29" t="n"/>
      <c r="D66" s="34" t="n"/>
      <c r="E66" s="29" t="n"/>
      <c r="F66" s="6" t="n"/>
      <c r="G66" s="6" t="n"/>
      <c r="H66" s="31" t="n"/>
      <c r="I66" s="6" t="n"/>
      <c r="J66" s="6" t="n"/>
      <c r="K66" s="17">
        <f>IF($A66="","",$A66&amp;"|"&amp;COUNTIF($A$2:$A66,$A66))</f>
        <v/>
      </c>
    </row>
    <row r="67">
      <c r="A67" s="29" t="n"/>
      <c r="B67" s="29" t="n"/>
      <c r="C67" s="29" t="n"/>
      <c r="D67" s="34" t="n"/>
      <c r="E67" s="29" t="n"/>
      <c r="F67" s="6" t="n"/>
      <c r="G67" s="6" t="n"/>
      <c r="H67" s="31" t="n"/>
      <c r="I67" s="6" t="n"/>
      <c r="J67" s="6" t="n"/>
      <c r="K67" s="17">
        <f>IF($A67="","",$A67&amp;"|"&amp;COUNTIF($A$2:$A67,$A67))</f>
        <v/>
      </c>
    </row>
    <row r="68">
      <c r="A68" s="29" t="n"/>
      <c r="B68" s="29" t="n"/>
      <c r="C68" s="29" t="n"/>
      <c r="D68" s="34" t="n"/>
      <c r="E68" s="29" t="n"/>
      <c r="F68" s="6" t="n"/>
      <c r="G68" s="6" t="n"/>
      <c r="H68" s="31" t="n"/>
      <c r="I68" s="6" t="n"/>
      <c r="J68" s="6" t="n"/>
      <c r="K68" s="17">
        <f>IF($A68="","",$A68&amp;"|"&amp;COUNTIF($A$2:$A68,$A68))</f>
        <v/>
      </c>
    </row>
    <row r="69">
      <c r="A69" s="29" t="n"/>
      <c r="B69" s="29" t="n"/>
      <c r="C69" s="29" t="n"/>
      <c r="D69" s="34" t="n"/>
      <c r="E69" s="29" t="n"/>
      <c r="F69" s="6" t="n"/>
      <c r="G69" s="6" t="n"/>
      <c r="H69" s="31" t="n"/>
      <c r="I69" s="6" t="n"/>
      <c r="J69" s="6" t="n"/>
      <c r="K69" s="17">
        <f>IF($A69="","",$A69&amp;"|"&amp;COUNTIF($A$2:$A69,$A69))</f>
        <v/>
      </c>
    </row>
    <row r="70">
      <c r="A70" s="29" t="n"/>
      <c r="B70" s="29" t="n"/>
      <c r="C70" s="29" t="n"/>
      <c r="D70" s="34" t="n"/>
      <c r="E70" s="29" t="n"/>
      <c r="F70" s="6" t="n"/>
      <c r="G70" s="6" t="n"/>
      <c r="H70" s="31" t="n"/>
      <c r="I70" s="6" t="n"/>
      <c r="J70" s="6" t="n"/>
      <c r="K70" s="17">
        <f>IF($A70="","",$A70&amp;"|"&amp;COUNTIF($A$2:$A70,$A70))</f>
        <v/>
      </c>
    </row>
    <row r="71">
      <c r="A71" s="29" t="n"/>
      <c r="B71" s="29" t="n"/>
      <c r="C71" s="29" t="n"/>
      <c r="D71" s="34" t="n"/>
      <c r="E71" s="29" t="n"/>
      <c r="F71" s="6" t="n"/>
      <c r="G71" s="6" t="n"/>
      <c r="H71" s="31" t="n"/>
      <c r="I71" s="6" t="n"/>
      <c r="J71" s="6" t="n"/>
      <c r="K71" s="17">
        <f>IF($A71="","",$A71&amp;"|"&amp;COUNTIF($A$2:$A71,$A71))</f>
        <v/>
      </c>
    </row>
    <row r="72">
      <c r="A72" s="29" t="n"/>
      <c r="B72" s="29" t="n"/>
      <c r="C72" s="29" t="n"/>
      <c r="D72" s="34" t="n"/>
      <c r="E72" s="29" t="n"/>
      <c r="F72" s="6" t="n"/>
      <c r="G72" s="6" t="n"/>
      <c r="H72" s="31" t="n"/>
      <c r="I72" s="6" t="n"/>
      <c r="J72" s="6" t="n"/>
      <c r="K72" s="17">
        <f>IF($A72="","",$A72&amp;"|"&amp;COUNTIF($A$2:$A72,$A72))</f>
        <v/>
      </c>
    </row>
    <row r="73">
      <c r="A73" s="29" t="n"/>
      <c r="B73" s="29" t="n"/>
      <c r="C73" s="29" t="n"/>
      <c r="D73" s="34" t="n"/>
      <c r="E73" s="29" t="n"/>
      <c r="F73" s="6" t="n"/>
      <c r="G73" s="6" t="n"/>
      <c r="H73" s="31" t="n"/>
      <c r="I73" s="6" t="n"/>
      <c r="J73" s="6" t="n"/>
      <c r="K73" s="17">
        <f>IF($A73="","",$A73&amp;"|"&amp;COUNTIF($A$2:$A73,$A73))</f>
        <v/>
      </c>
    </row>
    <row r="74">
      <c r="A74" s="29" t="n"/>
      <c r="B74" s="29" t="n"/>
      <c r="C74" s="29" t="n"/>
      <c r="D74" s="34" t="n"/>
      <c r="E74" s="29" t="n"/>
      <c r="F74" s="6" t="n"/>
      <c r="G74" s="6" t="n"/>
      <c r="H74" s="31" t="n"/>
      <c r="I74" s="6" t="n"/>
      <c r="J74" s="6" t="n"/>
      <c r="K74" s="17">
        <f>IF($A74="","",$A74&amp;"|"&amp;COUNTIF($A$2:$A74,$A74))</f>
        <v/>
      </c>
    </row>
    <row r="75">
      <c r="A75" s="29" t="n"/>
      <c r="B75" s="29" t="n"/>
      <c r="C75" s="29" t="n"/>
      <c r="D75" s="34" t="n"/>
      <c r="E75" s="29" t="n"/>
      <c r="F75" s="6" t="n"/>
      <c r="G75" s="6" t="n"/>
      <c r="H75" s="31" t="n"/>
      <c r="I75" s="6" t="n"/>
      <c r="J75" s="6" t="n"/>
      <c r="K75" s="17">
        <f>IF($A75="","",$A75&amp;"|"&amp;COUNTIF($A$2:$A75,$A75))</f>
        <v/>
      </c>
    </row>
    <row r="76">
      <c r="A76" s="29" t="n"/>
      <c r="B76" s="29" t="n"/>
      <c r="C76" s="29" t="n"/>
      <c r="D76" s="34" t="n"/>
      <c r="E76" s="29" t="n"/>
      <c r="F76" s="6" t="n"/>
      <c r="G76" s="6" t="n"/>
      <c r="H76" s="31" t="n"/>
      <c r="I76" s="6" t="n"/>
      <c r="J76" s="6" t="n"/>
      <c r="K76" s="17">
        <f>IF($A76="","",$A76&amp;"|"&amp;COUNTIF($A$2:$A76,$A76))</f>
        <v/>
      </c>
    </row>
    <row r="77">
      <c r="A77" s="29" t="n"/>
      <c r="B77" s="29" t="n"/>
      <c r="C77" s="29" t="n"/>
      <c r="D77" s="34" t="n"/>
      <c r="E77" s="29" t="n"/>
      <c r="F77" s="6" t="n"/>
      <c r="G77" s="6" t="n"/>
      <c r="H77" s="31" t="n"/>
      <c r="I77" s="6" t="n"/>
      <c r="J77" s="6" t="n"/>
      <c r="K77" s="17">
        <f>IF($A77="","",$A77&amp;"|"&amp;COUNTIF($A$2:$A77,$A77))</f>
        <v/>
      </c>
    </row>
    <row r="78">
      <c r="A78" s="29" t="n"/>
      <c r="B78" s="29" t="n"/>
      <c r="C78" s="29" t="n"/>
      <c r="D78" s="34" t="n"/>
      <c r="E78" s="29" t="n"/>
      <c r="F78" s="6" t="n"/>
      <c r="G78" s="6" t="n"/>
      <c r="H78" s="31" t="n"/>
      <c r="I78" s="6" t="n"/>
      <c r="J78" s="6" t="n"/>
      <c r="K78" s="17">
        <f>IF($A78="","",$A78&amp;"|"&amp;COUNTIF($A$2:$A78,$A78))</f>
        <v/>
      </c>
    </row>
    <row r="79">
      <c r="A79" s="29" t="n"/>
      <c r="B79" s="29" t="n"/>
      <c r="C79" s="29" t="n"/>
      <c r="D79" s="34" t="n"/>
      <c r="E79" s="29" t="n"/>
      <c r="F79" s="6" t="n"/>
      <c r="G79" s="6" t="n"/>
      <c r="H79" s="31" t="n"/>
      <c r="I79" s="6" t="n"/>
      <c r="J79" s="6" t="n"/>
      <c r="K79" s="17">
        <f>IF($A79="","",$A79&amp;"|"&amp;COUNTIF($A$2:$A79,$A79))</f>
        <v/>
      </c>
    </row>
    <row r="80">
      <c r="A80" s="29" t="n"/>
      <c r="B80" s="29" t="n"/>
      <c r="C80" s="29" t="n"/>
      <c r="D80" s="34" t="n"/>
      <c r="E80" s="29" t="n"/>
      <c r="F80" s="6" t="n"/>
      <c r="G80" s="6" t="n"/>
      <c r="H80" s="31" t="n"/>
      <c r="I80" s="6" t="n"/>
      <c r="J80" s="6" t="n"/>
      <c r="K80" s="17">
        <f>IF($A80="","",$A80&amp;"|"&amp;COUNTIF($A$2:$A80,$A80))</f>
        <v/>
      </c>
    </row>
    <row r="81">
      <c r="A81" s="29" t="n"/>
      <c r="B81" s="29" t="n"/>
      <c r="C81" s="29" t="n"/>
      <c r="D81" s="34" t="n"/>
      <c r="E81" s="29" t="n"/>
      <c r="F81" s="6" t="n"/>
      <c r="G81" s="6" t="n"/>
      <c r="H81" s="31" t="n"/>
      <c r="I81" s="6" t="n"/>
      <c r="J81" s="6" t="n"/>
      <c r="K81" s="17">
        <f>IF($A81="","",$A81&amp;"|"&amp;COUNTIF($A$2:$A81,$A81))</f>
        <v/>
      </c>
    </row>
    <row r="82">
      <c r="A82" s="29" t="n"/>
      <c r="B82" s="29" t="n"/>
      <c r="C82" s="29" t="n"/>
      <c r="D82" s="34" t="n"/>
      <c r="E82" s="29" t="n"/>
      <c r="F82" s="6" t="n"/>
      <c r="G82" s="6" t="n"/>
      <c r="H82" s="31" t="n"/>
      <c r="I82" s="6" t="n"/>
      <c r="J82" s="6" t="n"/>
      <c r="K82" s="17">
        <f>IF($A82="","",$A82&amp;"|"&amp;COUNTIF($A$2:$A82,$A82))</f>
        <v/>
      </c>
    </row>
    <row r="83">
      <c r="A83" s="29" t="n"/>
      <c r="B83" s="29" t="n"/>
      <c r="C83" s="29" t="n"/>
      <c r="D83" s="34" t="n"/>
      <c r="E83" s="29" t="n"/>
      <c r="F83" s="6" t="n"/>
      <c r="G83" s="6" t="n"/>
      <c r="H83" s="31" t="n"/>
      <c r="I83" s="6" t="n"/>
      <c r="J83" s="6" t="n"/>
      <c r="K83" s="17">
        <f>IF($A83="","",$A83&amp;"|"&amp;COUNTIF($A$2:$A83,$A83))</f>
        <v/>
      </c>
    </row>
    <row r="84">
      <c r="A84" s="29" t="n"/>
      <c r="B84" s="29" t="n"/>
      <c r="C84" s="29" t="n"/>
      <c r="D84" s="34" t="n"/>
      <c r="E84" s="29" t="n"/>
      <c r="F84" s="6" t="n"/>
      <c r="G84" s="6" t="n"/>
      <c r="H84" s="31" t="n"/>
      <c r="I84" s="6" t="n"/>
      <c r="J84" s="6" t="n"/>
      <c r="K84" s="17">
        <f>IF($A84="","",$A84&amp;"|"&amp;COUNTIF($A$2:$A84,$A84))</f>
        <v/>
      </c>
    </row>
    <row r="85">
      <c r="A85" s="29" t="n"/>
      <c r="B85" s="29" t="n"/>
      <c r="C85" s="29" t="n"/>
      <c r="D85" s="34" t="n"/>
      <c r="E85" s="29" t="n"/>
      <c r="F85" s="6" t="n"/>
      <c r="G85" s="6" t="n"/>
      <c r="H85" s="31" t="n"/>
      <c r="I85" s="6" t="n"/>
      <c r="J85" s="6" t="n"/>
      <c r="K85" s="17">
        <f>IF($A85="","",$A85&amp;"|"&amp;COUNTIF($A$2:$A85,$A85))</f>
        <v/>
      </c>
    </row>
    <row r="86">
      <c r="A86" s="29" t="n"/>
      <c r="B86" s="29" t="n"/>
      <c r="C86" s="29" t="n"/>
      <c r="D86" s="34" t="n"/>
      <c r="E86" s="29" t="n"/>
      <c r="F86" s="6" t="n"/>
      <c r="G86" s="6" t="n"/>
      <c r="H86" s="31" t="n"/>
      <c r="I86" s="6" t="n"/>
      <c r="J86" s="6" t="n"/>
      <c r="K86" s="17">
        <f>IF($A86="","",$A86&amp;"|"&amp;COUNTIF($A$2:$A86,$A86))</f>
        <v/>
      </c>
    </row>
    <row r="87">
      <c r="A87" s="29" t="n"/>
      <c r="B87" s="29" t="n"/>
      <c r="C87" s="29" t="n"/>
      <c r="D87" s="34" t="n"/>
      <c r="E87" s="29" t="n"/>
      <c r="F87" s="6" t="n"/>
      <c r="G87" s="6" t="n"/>
      <c r="H87" s="31" t="n"/>
      <c r="I87" s="6" t="n"/>
      <c r="J87" s="6" t="n"/>
      <c r="K87" s="17">
        <f>IF($A87="","",$A87&amp;"|"&amp;COUNTIF($A$2:$A87,$A87))</f>
        <v/>
      </c>
    </row>
    <row r="88">
      <c r="A88" s="29" t="n"/>
      <c r="B88" s="29" t="n"/>
      <c r="C88" s="29" t="n"/>
      <c r="D88" s="34" t="n"/>
      <c r="E88" s="29" t="n"/>
      <c r="F88" s="6" t="n"/>
      <c r="G88" s="6" t="n"/>
      <c r="H88" s="31" t="n"/>
      <c r="I88" s="6" t="n"/>
      <c r="J88" s="6" t="n"/>
      <c r="K88" s="17">
        <f>IF($A88="","",$A88&amp;"|"&amp;COUNTIF($A$2:$A88,$A88))</f>
        <v/>
      </c>
    </row>
    <row r="89">
      <c r="A89" s="29" t="n"/>
      <c r="B89" s="29" t="n"/>
      <c r="C89" s="29" t="n"/>
      <c r="D89" s="34" t="n"/>
      <c r="E89" s="29" t="n"/>
      <c r="F89" s="6" t="n"/>
      <c r="G89" s="6" t="n"/>
      <c r="H89" s="31" t="n"/>
      <c r="I89" s="6" t="n"/>
      <c r="J89" s="6" t="n"/>
      <c r="K89" s="17">
        <f>IF($A89="","",$A89&amp;"|"&amp;COUNTIF($A$2:$A89,$A89))</f>
        <v/>
      </c>
    </row>
    <row r="90">
      <c r="A90" s="29" t="n"/>
      <c r="B90" s="29" t="n"/>
      <c r="C90" s="29" t="n"/>
      <c r="D90" s="34" t="n"/>
      <c r="E90" s="29" t="n"/>
      <c r="F90" s="6" t="n"/>
      <c r="G90" s="6" t="n"/>
      <c r="H90" s="31" t="n"/>
      <c r="I90" s="6" t="n"/>
      <c r="J90" s="6" t="n"/>
      <c r="K90" s="17">
        <f>IF($A90="","",$A90&amp;"|"&amp;COUNTIF($A$2:$A90,$A90))</f>
        <v/>
      </c>
    </row>
    <row r="91">
      <c r="A91" s="29" t="n"/>
      <c r="B91" s="29" t="n"/>
      <c r="C91" s="29" t="n"/>
      <c r="D91" s="34" t="n"/>
      <c r="E91" s="29" t="n"/>
      <c r="F91" s="6" t="n"/>
      <c r="G91" s="6" t="n"/>
      <c r="H91" s="31" t="n"/>
      <c r="I91" s="6" t="n"/>
      <c r="J91" s="6" t="n"/>
      <c r="K91" s="17">
        <f>IF($A91="","",$A91&amp;"|"&amp;COUNTIF($A$2:$A91,$A91))</f>
        <v/>
      </c>
    </row>
    <row r="92">
      <c r="A92" s="29" t="n"/>
      <c r="B92" s="29" t="n"/>
      <c r="C92" s="29" t="n"/>
      <c r="D92" s="34" t="n"/>
      <c r="E92" s="29" t="n"/>
      <c r="F92" s="6" t="n"/>
      <c r="G92" s="6" t="n"/>
      <c r="H92" s="31" t="n"/>
      <c r="I92" s="6" t="n"/>
      <c r="J92" s="6" t="n"/>
      <c r="K92" s="17">
        <f>IF($A92="","",$A92&amp;"|"&amp;COUNTIF($A$2:$A92,$A92))</f>
        <v/>
      </c>
    </row>
    <row r="93">
      <c r="A93" s="29" t="n"/>
      <c r="B93" s="29" t="n"/>
      <c r="C93" s="29" t="n"/>
      <c r="D93" s="34" t="n"/>
      <c r="E93" s="29" t="n"/>
      <c r="F93" s="6" t="n"/>
      <c r="G93" s="6" t="n"/>
      <c r="H93" s="31" t="n"/>
      <c r="I93" s="6" t="n"/>
      <c r="J93" s="6" t="n"/>
      <c r="K93" s="17">
        <f>IF($A93="","",$A93&amp;"|"&amp;COUNTIF($A$2:$A93,$A93))</f>
        <v/>
      </c>
    </row>
    <row r="94">
      <c r="A94" s="29" t="n"/>
      <c r="B94" s="29" t="n"/>
      <c r="C94" s="29" t="n"/>
      <c r="D94" s="34" t="n"/>
      <c r="E94" s="29" t="n"/>
      <c r="F94" s="6" t="n"/>
      <c r="G94" s="6" t="n"/>
      <c r="H94" s="31" t="n"/>
      <c r="I94" s="6" t="n"/>
      <c r="J94" s="6" t="n"/>
      <c r="K94" s="17">
        <f>IF($A94="","",$A94&amp;"|"&amp;COUNTIF($A$2:$A94,$A94))</f>
        <v/>
      </c>
    </row>
    <row r="95">
      <c r="A95" s="29" t="n"/>
      <c r="B95" s="29" t="n"/>
      <c r="C95" s="29" t="n"/>
      <c r="D95" s="34" t="n"/>
      <c r="E95" s="29" t="n"/>
      <c r="F95" s="6" t="n"/>
      <c r="G95" s="6" t="n"/>
      <c r="H95" s="31" t="n"/>
      <c r="I95" s="6" t="n"/>
      <c r="J95" s="6" t="n"/>
      <c r="K95" s="17">
        <f>IF($A95="","",$A95&amp;"|"&amp;COUNTIF($A$2:$A95,$A95))</f>
        <v/>
      </c>
    </row>
    <row r="96">
      <c r="A96" s="29" t="n"/>
      <c r="B96" s="29" t="n"/>
      <c r="C96" s="29" t="n"/>
      <c r="D96" s="34" t="n"/>
      <c r="E96" s="29" t="n"/>
      <c r="F96" s="6" t="n"/>
      <c r="G96" s="6" t="n"/>
      <c r="H96" s="31" t="n"/>
      <c r="I96" s="6" t="n"/>
      <c r="J96" s="6" t="n"/>
      <c r="K96" s="17">
        <f>IF($A96="","",$A96&amp;"|"&amp;COUNTIF($A$2:$A96,$A96))</f>
        <v/>
      </c>
    </row>
    <row r="97">
      <c r="A97" s="29" t="n"/>
      <c r="B97" s="29" t="n"/>
      <c r="C97" s="29" t="n"/>
      <c r="D97" s="34" t="n"/>
      <c r="E97" s="29" t="n"/>
      <c r="F97" s="6" t="n"/>
      <c r="G97" s="6" t="n"/>
      <c r="H97" s="31" t="n"/>
      <c r="I97" s="6" t="n"/>
      <c r="J97" s="6" t="n"/>
      <c r="K97" s="17">
        <f>IF($A97="","",$A97&amp;"|"&amp;COUNTIF($A$2:$A97,$A97))</f>
        <v/>
      </c>
    </row>
    <row r="98">
      <c r="A98" s="29" t="n"/>
      <c r="B98" s="29" t="n"/>
      <c r="C98" s="29" t="n"/>
      <c r="D98" s="34" t="n"/>
      <c r="E98" s="29" t="n"/>
      <c r="F98" s="6" t="n"/>
      <c r="G98" s="6" t="n"/>
      <c r="H98" s="31" t="n"/>
      <c r="I98" s="6" t="n"/>
      <c r="J98" s="6" t="n"/>
      <c r="K98" s="17">
        <f>IF($A98="","",$A98&amp;"|"&amp;COUNTIF($A$2:$A98,$A98))</f>
        <v/>
      </c>
    </row>
    <row r="99">
      <c r="A99" s="29" t="n"/>
      <c r="B99" s="29" t="n"/>
      <c r="C99" s="29" t="n"/>
      <c r="D99" s="34" t="n"/>
      <c r="E99" s="29" t="n"/>
      <c r="F99" s="6" t="n"/>
      <c r="G99" s="6" t="n"/>
      <c r="H99" s="31" t="n"/>
      <c r="I99" s="6" t="n"/>
      <c r="J99" s="6" t="n"/>
      <c r="K99" s="17">
        <f>IF($A99="","",$A99&amp;"|"&amp;COUNTIF($A$2:$A99,$A99))</f>
        <v/>
      </c>
    </row>
    <row r="100">
      <c r="A100" s="29" t="n"/>
      <c r="B100" s="29" t="n"/>
      <c r="C100" s="29" t="n"/>
      <c r="D100" s="34" t="n"/>
      <c r="E100" s="29" t="n"/>
      <c r="F100" s="6" t="n"/>
      <c r="G100" s="6" t="n"/>
      <c r="H100" s="31" t="n"/>
      <c r="I100" s="6" t="n"/>
      <c r="J100" s="6" t="n"/>
      <c r="K100" s="17">
        <f>IF($A100="","",$A100&amp;"|"&amp;COUNTIF($A$2:$A100,$A100))</f>
        <v/>
      </c>
    </row>
    <row r="101">
      <c r="A101" s="29" t="n"/>
      <c r="B101" s="29" t="n"/>
      <c r="C101" s="29" t="n"/>
      <c r="D101" s="34" t="n"/>
      <c r="E101" s="29" t="n"/>
      <c r="F101" s="6" t="n"/>
      <c r="G101" s="6" t="n"/>
      <c r="H101" s="31" t="n"/>
      <c r="I101" s="6" t="n"/>
      <c r="J101" s="6" t="n"/>
      <c r="K101" s="17">
        <f>IF($A101="","",$A101&amp;"|"&amp;COUNTIF($A$2:$A101,$A101))</f>
        <v/>
      </c>
    </row>
    <row r="102">
      <c r="A102" s="29" t="n"/>
      <c r="B102" s="29" t="n"/>
      <c r="C102" s="29" t="n"/>
      <c r="D102" s="34" t="n"/>
      <c r="E102" s="29" t="n"/>
      <c r="F102" s="6" t="n"/>
      <c r="G102" s="6" t="n"/>
      <c r="H102" s="31" t="n"/>
      <c r="I102" s="6" t="n"/>
      <c r="J102" s="6" t="n"/>
      <c r="K102" s="17">
        <f>IF($A102="","",$A102&amp;"|"&amp;COUNTIF($A$2:$A102,$A102))</f>
        <v/>
      </c>
    </row>
    <row r="103">
      <c r="A103" s="29" t="n"/>
      <c r="B103" s="29" t="n"/>
      <c r="C103" s="29" t="n"/>
      <c r="D103" s="34" t="n"/>
      <c r="E103" s="29" t="n"/>
      <c r="F103" s="6" t="n"/>
      <c r="G103" s="6" t="n"/>
      <c r="H103" s="31" t="n"/>
      <c r="I103" s="6" t="n"/>
      <c r="J103" s="6" t="n"/>
      <c r="K103" s="17">
        <f>IF($A103="","",$A103&amp;"|"&amp;COUNTIF($A$2:$A103,$A103))</f>
        <v/>
      </c>
    </row>
    <row r="104">
      <c r="A104" s="29" t="n"/>
      <c r="B104" s="29" t="n"/>
      <c r="C104" s="29" t="n"/>
      <c r="D104" s="34" t="n"/>
      <c r="E104" s="29" t="n"/>
      <c r="F104" s="6" t="n"/>
      <c r="G104" s="6" t="n"/>
      <c r="H104" s="31" t="n"/>
      <c r="I104" s="6" t="n"/>
      <c r="J104" s="6" t="n"/>
      <c r="K104" s="17">
        <f>IF($A104="","",$A104&amp;"|"&amp;COUNTIF($A$2:$A104,$A104))</f>
        <v/>
      </c>
    </row>
    <row r="105">
      <c r="A105" s="29" t="n"/>
      <c r="B105" s="29" t="n"/>
      <c r="C105" s="29" t="n"/>
      <c r="D105" s="34" t="n"/>
      <c r="E105" s="29" t="n"/>
      <c r="F105" s="6" t="n"/>
      <c r="G105" s="6" t="n"/>
      <c r="H105" s="31" t="n"/>
      <c r="I105" s="6" t="n"/>
      <c r="J105" s="6" t="n"/>
      <c r="K105" s="17">
        <f>IF($A105="","",$A105&amp;"|"&amp;COUNTIF($A$2:$A105,$A105))</f>
        <v/>
      </c>
    </row>
    <row r="106">
      <c r="A106" s="29" t="n"/>
      <c r="B106" s="29" t="n"/>
      <c r="C106" s="29" t="n"/>
      <c r="D106" s="34" t="n"/>
      <c r="E106" s="29" t="n"/>
      <c r="F106" s="6" t="n"/>
      <c r="G106" s="6" t="n"/>
      <c r="H106" s="31" t="n"/>
      <c r="I106" s="6" t="n"/>
      <c r="J106" s="6" t="n"/>
      <c r="K106" s="17">
        <f>IF($A106="","",$A106&amp;"|"&amp;COUNTIF($A$2:$A106,$A106))</f>
        <v/>
      </c>
    </row>
    <row r="107">
      <c r="A107" s="29" t="n"/>
      <c r="B107" s="29" t="n"/>
      <c r="C107" s="29" t="n"/>
      <c r="D107" s="34" t="n"/>
      <c r="E107" s="29" t="n"/>
      <c r="F107" s="6" t="n"/>
      <c r="G107" s="6" t="n"/>
      <c r="H107" s="31" t="n"/>
      <c r="I107" s="6" t="n"/>
      <c r="J107" s="6" t="n"/>
      <c r="K107" s="17">
        <f>IF($A107="","",$A107&amp;"|"&amp;COUNTIF($A$2:$A107,$A107))</f>
        <v/>
      </c>
    </row>
    <row r="108">
      <c r="A108" s="29" t="n"/>
      <c r="B108" s="29" t="n"/>
      <c r="C108" s="29" t="n"/>
      <c r="D108" s="34" t="n"/>
      <c r="E108" s="29" t="n"/>
      <c r="F108" s="6" t="n"/>
      <c r="G108" s="6" t="n"/>
      <c r="H108" s="31" t="n"/>
      <c r="I108" s="6" t="n"/>
      <c r="J108" s="6" t="n"/>
      <c r="K108" s="17">
        <f>IF($A108="","",$A108&amp;"|"&amp;COUNTIF($A$2:$A108,$A108))</f>
        <v/>
      </c>
    </row>
    <row r="109">
      <c r="A109" s="29" t="n"/>
      <c r="B109" s="29" t="n"/>
      <c r="C109" s="29" t="n"/>
      <c r="D109" s="34" t="n"/>
      <c r="E109" s="29" t="n"/>
      <c r="F109" s="6" t="n"/>
      <c r="G109" s="6" t="n"/>
      <c r="H109" s="31" t="n"/>
      <c r="I109" s="6" t="n"/>
      <c r="J109" s="6" t="n"/>
      <c r="K109" s="17">
        <f>IF($A109="","",$A109&amp;"|"&amp;COUNTIF($A$2:$A109,$A109))</f>
        <v/>
      </c>
    </row>
    <row r="110">
      <c r="A110" s="29" t="n"/>
      <c r="B110" s="29" t="n"/>
      <c r="C110" s="29" t="n"/>
      <c r="D110" s="34" t="n"/>
      <c r="E110" s="29" t="n"/>
      <c r="F110" s="6" t="n"/>
      <c r="G110" s="6" t="n"/>
      <c r="H110" s="31" t="n"/>
      <c r="I110" s="6" t="n"/>
      <c r="J110" s="6" t="n"/>
      <c r="K110" s="17">
        <f>IF($A110="","",$A110&amp;"|"&amp;COUNTIF($A$2:$A110,$A110))</f>
        <v/>
      </c>
    </row>
    <row r="111">
      <c r="A111" s="29" t="n"/>
      <c r="B111" s="29" t="n"/>
      <c r="C111" s="29" t="n"/>
      <c r="D111" s="34" t="n"/>
      <c r="E111" s="29" t="n"/>
      <c r="F111" s="6" t="n"/>
      <c r="G111" s="6" t="n"/>
      <c r="H111" s="31" t="n"/>
      <c r="I111" s="6" t="n"/>
      <c r="J111" s="6" t="n"/>
      <c r="K111" s="17">
        <f>IF($A111="","",$A111&amp;"|"&amp;COUNTIF($A$2:$A111,$A111))</f>
        <v/>
      </c>
    </row>
    <row r="112">
      <c r="A112" s="29" t="n"/>
      <c r="B112" s="29" t="n"/>
      <c r="C112" s="29" t="n"/>
      <c r="D112" s="34" t="n"/>
      <c r="E112" s="29" t="n"/>
      <c r="F112" s="6" t="n"/>
      <c r="G112" s="6" t="n"/>
      <c r="H112" s="31" t="n"/>
      <c r="I112" s="6" t="n"/>
      <c r="J112" s="6" t="n"/>
      <c r="K112" s="17">
        <f>IF($A112="","",$A112&amp;"|"&amp;COUNTIF($A$2:$A112,$A112))</f>
        <v/>
      </c>
    </row>
    <row r="113">
      <c r="A113" s="29" t="n"/>
      <c r="B113" s="29" t="n"/>
      <c r="C113" s="29" t="n"/>
      <c r="D113" s="34" t="n"/>
      <c r="E113" s="29" t="n"/>
      <c r="F113" s="6" t="n"/>
      <c r="G113" s="6" t="n"/>
      <c r="H113" s="31" t="n"/>
      <c r="I113" s="6" t="n"/>
      <c r="J113" s="6" t="n"/>
      <c r="K113" s="17">
        <f>IF($A113="","",$A113&amp;"|"&amp;COUNTIF($A$2:$A113,$A113))</f>
        <v/>
      </c>
    </row>
    <row r="114">
      <c r="A114" s="29" t="n"/>
      <c r="B114" s="29" t="n"/>
      <c r="C114" s="29" t="n"/>
      <c r="D114" s="34" t="n"/>
      <c r="E114" s="29" t="n"/>
      <c r="F114" s="6" t="n"/>
      <c r="G114" s="6" t="n"/>
      <c r="H114" s="31" t="n"/>
      <c r="I114" s="6" t="n"/>
      <c r="J114" s="6" t="n"/>
      <c r="K114" s="17">
        <f>IF($A114="","",$A114&amp;"|"&amp;COUNTIF($A$2:$A114,$A114))</f>
        <v/>
      </c>
    </row>
    <row r="115">
      <c r="A115" s="29" t="n"/>
      <c r="B115" s="29" t="n"/>
      <c r="C115" s="29" t="n"/>
      <c r="D115" s="34" t="n"/>
      <c r="E115" s="29" t="n"/>
      <c r="F115" s="6" t="n"/>
      <c r="G115" s="6" t="n"/>
      <c r="H115" s="31" t="n"/>
      <c r="I115" s="6" t="n"/>
      <c r="J115" s="6" t="n"/>
      <c r="K115" s="17">
        <f>IF($A115="","",$A115&amp;"|"&amp;COUNTIF($A$2:$A115,$A115))</f>
        <v/>
      </c>
    </row>
    <row r="116">
      <c r="A116" s="29" t="n"/>
      <c r="B116" s="29" t="n"/>
      <c r="C116" s="29" t="n"/>
      <c r="D116" s="34" t="n"/>
      <c r="E116" s="29" t="n"/>
      <c r="F116" s="6" t="n"/>
      <c r="G116" s="6" t="n"/>
      <c r="H116" s="31" t="n"/>
      <c r="I116" s="6" t="n"/>
      <c r="J116" s="6" t="n"/>
      <c r="K116" s="17">
        <f>IF($A116="","",$A116&amp;"|"&amp;COUNTIF($A$2:$A116,$A116))</f>
        <v/>
      </c>
    </row>
    <row r="117">
      <c r="A117" s="29" t="n"/>
      <c r="B117" s="29" t="n"/>
      <c r="C117" s="29" t="n"/>
      <c r="D117" s="34" t="n"/>
      <c r="E117" s="29" t="n"/>
      <c r="F117" s="6" t="n"/>
      <c r="G117" s="6" t="n"/>
      <c r="H117" s="31" t="n"/>
      <c r="I117" s="6" t="n"/>
      <c r="J117" s="6" t="n"/>
      <c r="K117" s="17">
        <f>IF($A117="","",$A117&amp;"|"&amp;COUNTIF($A$2:$A117,$A117))</f>
        <v/>
      </c>
    </row>
    <row r="118">
      <c r="A118" s="29" t="n"/>
      <c r="B118" s="29" t="n"/>
      <c r="C118" s="29" t="n"/>
      <c r="D118" s="34" t="n"/>
      <c r="E118" s="29" t="n"/>
      <c r="F118" s="6" t="n"/>
      <c r="G118" s="6" t="n"/>
      <c r="H118" s="31" t="n"/>
      <c r="I118" s="6" t="n"/>
      <c r="J118" s="6" t="n"/>
      <c r="K118" s="17">
        <f>IF($A118="","",$A118&amp;"|"&amp;COUNTIF($A$2:$A118,$A118))</f>
        <v/>
      </c>
    </row>
    <row r="119">
      <c r="A119" s="29" t="n"/>
      <c r="B119" s="29" t="n"/>
      <c r="C119" s="29" t="n"/>
      <c r="D119" s="34" t="n"/>
      <c r="E119" s="29" t="n"/>
      <c r="F119" s="6" t="n"/>
      <c r="G119" s="6" t="n"/>
      <c r="H119" s="31" t="n"/>
      <c r="I119" s="6" t="n"/>
      <c r="J119" s="6" t="n"/>
      <c r="K119" s="17">
        <f>IF($A119="","",$A119&amp;"|"&amp;COUNTIF($A$2:$A119,$A119))</f>
        <v/>
      </c>
    </row>
    <row r="120">
      <c r="A120" s="29" t="n"/>
      <c r="B120" s="29" t="n"/>
      <c r="C120" s="29" t="n"/>
      <c r="D120" s="34" t="n"/>
      <c r="E120" s="29" t="n"/>
      <c r="F120" s="6" t="n"/>
      <c r="G120" s="6" t="n"/>
      <c r="H120" s="31" t="n"/>
      <c r="I120" s="6" t="n"/>
      <c r="J120" s="6" t="n"/>
      <c r="K120" s="17">
        <f>IF($A120="","",$A120&amp;"|"&amp;COUNTIF($A$2:$A120,$A120))</f>
        <v/>
      </c>
    </row>
    <row r="121">
      <c r="A121" s="29" t="n"/>
      <c r="B121" s="29" t="n"/>
      <c r="C121" s="29" t="n"/>
      <c r="D121" s="34" t="n"/>
      <c r="E121" s="29" t="n"/>
      <c r="F121" s="6" t="n"/>
      <c r="G121" s="6" t="n"/>
      <c r="H121" s="31" t="n"/>
      <c r="I121" s="6" t="n"/>
      <c r="J121" s="6" t="n"/>
      <c r="K121" s="17">
        <f>IF($A121="","",$A121&amp;"|"&amp;COUNTIF($A$2:$A121,$A121))</f>
        <v/>
      </c>
    </row>
    <row r="122">
      <c r="A122" s="29" t="n"/>
      <c r="B122" s="29" t="n"/>
      <c r="C122" s="29" t="n"/>
      <c r="D122" s="34" t="n"/>
      <c r="E122" s="29" t="n"/>
      <c r="F122" s="6" t="n"/>
      <c r="G122" s="6" t="n"/>
      <c r="H122" s="31" t="n"/>
      <c r="I122" s="6" t="n"/>
      <c r="J122" s="6" t="n"/>
      <c r="K122" s="17">
        <f>IF($A122="","",$A122&amp;"|"&amp;COUNTIF($A$2:$A122,$A122))</f>
        <v/>
      </c>
    </row>
    <row r="123">
      <c r="A123" s="29" t="n"/>
      <c r="B123" s="29" t="n"/>
      <c r="C123" s="29" t="n"/>
      <c r="D123" s="34" t="n"/>
      <c r="E123" s="29" t="n"/>
      <c r="F123" s="6" t="n"/>
      <c r="G123" s="6" t="n"/>
      <c r="H123" s="31" t="n"/>
      <c r="I123" s="6" t="n"/>
      <c r="J123" s="6" t="n"/>
      <c r="K123" s="17">
        <f>IF($A123="","",$A123&amp;"|"&amp;COUNTIF($A$2:$A123,$A123))</f>
        <v/>
      </c>
    </row>
    <row r="124">
      <c r="A124" s="29" t="n"/>
      <c r="B124" s="29" t="n"/>
      <c r="C124" s="29" t="n"/>
      <c r="D124" s="34" t="n"/>
      <c r="E124" s="29" t="n"/>
      <c r="F124" s="6" t="n"/>
      <c r="G124" s="6" t="n"/>
      <c r="H124" s="31" t="n"/>
      <c r="I124" s="6" t="n"/>
      <c r="J124" s="6" t="n"/>
      <c r="K124" s="17">
        <f>IF($A124="","",$A124&amp;"|"&amp;COUNTIF($A$2:$A124,$A124))</f>
        <v/>
      </c>
    </row>
    <row r="125">
      <c r="A125" s="29" t="n"/>
      <c r="B125" s="29" t="n"/>
      <c r="C125" s="29" t="n"/>
      <c r="D125" s="34" t="n"/>
      <c r="E125" s="29" t="n"/>
      <c r="F125" s="6" t="n"/>
      <c r="G125" s="6" t="n"/>
      <c r="H125" s="31" t="n"/>
      <c r="I125" s="6" t="n"/>
      <c r="J125" s="6" t="n"/>
      <c r="K125" s="17">
        <f>IF($A125="","",$A125&amp;"|"&amp;COUNTIF($A$2:$A125,$A125))</f>
        <v/>
      </c>
    </row>
    <row r="126">
      <c r="A126" s="29" t="n"/>
      <c r="B126" s="29" t="n"/>
      <c r="C126" s="29" t="n"/>
      <c r="D126" s="34" t="n"/>
      <c r="E126" s="29" t="n"/>
      <c r="F126" s="6" t="n"/>
      <c r="G126" s="6" t="n"/>
      <c r="H126" s="31" t="n"/>
      <c r="I126" s="6" t="n"/>
      <c r="J126" s="6" t="n"/>
      <c r="K126" s="17">
        <f>IF($A126="","",$A126&amp;"|"&amp;COUNTIF($A$2:$A126,$A126))</f>
        <v/>
      </c>
    </row>
    <row r="127">
      <c r="A127" s="29" t="n"/>
      <c r="B127" s="29" t="n"/>
      <c r="C127" s="29" t="n"/>
      <c r="D127" s="34" t="n"/>
      <c r="E127" s="29" t="n"/>
      <c r="F127" s="6" t="n"/>
      <c r="G127" s="6" t="n"/>
      <c r="H127" s="31" t="n"/>
      <c r="I127" s="6" t="n"/>
      <c r="J127" s="6" t="n"/>
      <c r="K127" s="17">
        <f>IF($A127="","",$A127&amp;"|"&amp;COUNTIF($A$2:$A127,$A127))</f>
        <v/>
      </c>
    </row>
    <row r="128">
      <c r="A128" s="29" t="n"/>
      <c r="B128" s="29" t="n"/>
      <c r="C128" s="29" t="n"/>
      <c r="D128" s="34" t="n"/>
      <c r="E128" s="29" t="n"/>
      <c r="F128" s="6" t="n"/>
      <c r="G128" s="6" t="n"/>
      <c r="H128" s="31" t="n"/>
      <c r="I128" s="6" t="n"/>
      <c r="J128" s="6" t="n"/>
      <c r="K128" s="17">
        <f>IF($A128="","",$A128&amp;"|"&amp;COUNTIF($A$2:$A128,$A128))</f>
        <v/>
      </c>
    </row>
    <row r="129">
      <c r="A129" s="29" t="n"/>
      <c r="B129" s="29" t="n"/>
      <c r="C129" s="29" t="n"/>
      <c r="D129" s="34" t="n"/>
      <c r="E129" s="29" t="n"/>
      <c r="F129" s="6" t="n"/>
      <c r="G129" s="6" t="n"/>
      <c r="H129" s="31" t="n"/>
      <c r="I129" s="6" t="n"/>
      <c r="J129" s="6" t="n"/>
      <c r="K129" s="17">
        <f>IF($A129="","",$A129&amp;"|"&amp;COUNTIF($A$2:$A129,$A129))</f>
        <v/>
      </c>
    </row>
    <row r="130">
      <c r="A130" s="29" t="n"/>
      <c r="B130" s="29" t="n"/>
      <c r="C130" s="29" t="n"/>
      <c r="D130" s="34" t="n"/>
      <c r="E130" s="29" t="n"/>
      <c r="F130" s="6" t="n"/>
      <c r="G130" s="6" t="n"/>
      <c r="H130" s="31" t="n"/>
      <c r="I130" s="6" t="n"/>
      <c r="J130" s="6" t="n"/>
      <c r="K130" s="17">
        <f>IF($A130="","",$A130&amp;"|"&amp;COUNTIF($A$2:$A130,$A130))</f>
        <v/>
      </c>
    </row>
    <row r="131">
      <c r="A131" s="29" t="n"/>
      <c r="B131" s="29" t="n"/>
      <c r="C131" s="29" t="n"/>
      <c r="D131" s="34" t="n"/>
      <c r="E131" s="29" t="n"/>
      <c r="F131" s="6" t="n"/>
      <c r="G131" s="6" t="n"/>
      <c r="H131" s="31" t="n"/>
      <c r="I131" s="6" t="n"/>
      <c r="J131" s="6" t="n"/>
      <c r="K131" s="17">
        <f>IF($A131="","",$A131&amp;"|"&amp;COUNTIF($A$2:$A131,$A131))</f>
        <v/>
      </c>
    </row>
    <row r="132">
      <c r="A132" s="29" t="n"/>
      <c r="B132" s="29" t="n"/>
      <c r="C132" s="29" t="n"/>
      <c r="D132" s="34" t="n"/>
      <c r="E132" s="29" t="n"/>
      <c r="F132" s="6" t="n"/>
      <c r="G132" s="6" t="n"/>
      <c r="H132" s="31" t="n"/>
      <c r="I132" s="6" t="n"/>
      <c r="J132" s="6" t="n"/>
      <c r="K132" s="17">
        <f>IF($A132="","",$A132&amp;"|"&amp;COUNTIF($A$2:$A132,$A132))</f>
        <v/>
      </c>
    </row>
    <row r="133">
      <c r="A133" s="29" t="n"/>
      <c r="B133" s="29" t="n"/>
      <c r="C133" s="29" t="n"/>
      <c r="D133" s="34" t="n"/>
      <c r="E133" s="29" t="n"/>
      <c r="F133" s="6" t="n"/>
      <c r="G133" s="6" t="n"/>
      <c r="H133" s="31" t="n"/>
      <c r="I133" s="6" t="n"/>
      <c r="J133" s="6" t="n"/>
      <c r="K133" s="17">
        <f>IF($A133="","",$A133&amp;"|"&amp;COUNTIF($A$2:$A133,$A133))</f>
        <v/>
      </c>
    </row>
    <row r="134">
      <c r="A134" s="29" t="n"/>
      <c r="B134" s="29" t="n"/>
      <c r="C134" s="29" t="n"/>
      <c r="D134" s="34" t="n"/>
      <c r="E134" s="29" t="n"/>
      <c r="F134" s="6" t="n"/>
      <c r="G134" s="6" t="n"/>
      <c r="H134" s="31" t="n"/>
      <c r="I134" s="6" t="n"/>
      <c r="J134" s="6" t="n"/>
      <c r="K134" s="17">
        <f>IF($A134="","",$A134&amp;"|"&amp;COUNTIF($A$2:$A134,$A134))</f>
        <v/>
      </c>
    </row>
    <row r="135">
      <c r="A135" s="29" t="n"/>
      <c r="B135" s="29" t="n"/>
      <c r="C135" s="29" t="n"/>
      <c r="D135" s="34" t="n"/>
      <c r="E135" s="29" t="n"/>
      <c r="F135" s="6" t="n"/>
      <c r="G135" s="6" t="n"/>
      <c r="H135" s="31" t="n"/>
      <c r="I135" s="6" t="n"/>
      <c r="J135" s="6" t="n"/>
      <c r="K135" s="17">
        <f>IF($A135="","",$A135&amp;"|"&amp;COUNTIF($A$2:$A135,$A135))</f>
        <v/>
      </c>
    </row>
    <row r="136">
      <c r="A136" s="29" t="n"/>
      <c r="B136" s="29" t="n"/>
      <c r="C136" s="29" t="n"/>
      <c r="D136" s="34" t="n"/>
      <c r="E136" s="29" t="n"/>
      <c r="F136" s="6" t="n"/>
      <c r="G136" s="6" t="n"/>
      <c r="H136" s="31" t="n"/>
      <c r="I136" s="6" t="n"/>
      <c r="J136" s="6" t="n"/>
      <c r="K136" s="17">
        <f>IF($A136="","",$A136&amp;"|"&amp;COUNTIF($A$2:$A136,$A136))</f>
        <v/>
      </c>
    </row>
    <row r="137">
      <c r="A137" s="29" t="n"/>
      <c r="B137" s="29" t="n"/>
      <c r="C137" s="29" t="n"/>
      <c r="D137" s="34" t="n"/>
      <c r="E137" s="29" t="n"/>
      <c r="F137" s="6" t="n"/>
      <c r="G137" s="6" t="n"/>
      <c r="H137" s="31" t="n"/>
      <c r="I137" s="6" t="n"/>
      <c r="J137" s="6" t="n"/>
      <c r="K137" s="17">
        <f>IF($A137="","",$A137&amp;"|"&amp;COUNTIF($A$2:$A137,$A137))</f>
        <v/>
      </c>
    </row>
    <row r="138">
      <c r="A138" s="29" t="n"/>
      <c r="B138" s="29" t="n"/>
      <c r="C138" s="29" t="n"/>
      <c r="D138" s="34" t="n"/>
      <c r="E138" s="29" t="n"/>
      <c r="F138" s="6" t="n"/>
      <c r="G138" s="6" t="n"/>
      <c r="H138" s="31" t="n"/>
      <c r="I138" s="6" t="n"/>
      <c r="J138" s="6" t="n"/>
      <c r="K138" s="17">
        <f>IF($A138="","",$A138&amp;"|"&amp;COUNTIF($A$2:$A138,$A138))</f>
        <v/>
      </c>
    </row>
    <row r="139">
      <c r="A139" s="29" t="n"/>
      <c r="B139" s="29" t="n"/>
      <c r="C139" s="29" t="n"/>
      <c r="D139" s="34" t="n"/>
      <c r="E139" s="29" t="n"/>
      <c r="F139" s="6" t="n"/>
      <c r="G139" s="6" t="n"/>
      <c r="H139" s="31" t="n"/>
      <c r="I139" s="6" t="n"/>
      <c r="J139" s="6" t="n"/>
      <c r="K139" s="17">
        <f>IF($A139="","",$A139&amp;"|"&amp;COUNTIF($A$2:$A139,$A139))</f>
        <v/>
      </c>
    </row>
    <row r="140">
      <c r="A140" s="29" t="n"/>
      <c r="B140" s="29" t="n"/>
      <c r="C140" s="29" t="n"/>
      <c r="D140" s="34" t="n"/>
      <c r="E140" s="29" t="n"/>
      <c r="F140" s="6" t="n"/>
      <c r="G140" s="6" t="n"/>
      <c r="H140" s="31" t="n"/>
      <c r="I140" s="6" t="n"/>
      <c r="J140" s="6" t="n"/>
      <c r="K140" s="17">
        <f>IF($A140="","",$A140&amp;"|"&amp;COUNTIF($A$2:$A140,$A140))</f>
        <v/>
      </c>
    </row>
    <row r="141">
      <c r="A141" s="29" t="n"/>
      <c r="B141" s="29" t="n"/>
      <c r="C141" s="29" t="n"/>
      <c r="D141" s="34" t="n"/>
      <c r="E141" s="29" t="n"/>
      <c r="F141" s="6" t="n"/>
      <c r="G141" s="6" t="n"/>
      <c r="H141" s="31" t="n"/>
      <c r="I141" s="6" t="n"/>
      <c r="J141" s="6" t="n"/>
      <c r="K141" s="17">
        <f>IF($A141="","",$A141&amp;"|"&amp;COUNTIF($A$2:$A141,$A141))</f>
        <v/>
      </c>
    </row>
    <row r="142">
      <c r="A142" s="29" t="n"/>
      <c r="B142" s="29" t="n"/>
      <c r="C142" s="29" t="n"/>
      <c r="D142" s="34" t="n"/>
      <c r="E142" s="29" t="n"/>
      <c r="F142" s="6" t="n"/>
      <c r="G142" s="6" t="n"/>
      <c r="H142" s="31" t="n"/>
      <c r="I142" s="6" t="n"/>
      <c r="J142" s="6" t="n"/>
      <c r="K142" s="17">
        <f>IF($A142="","",$A142&amp;"|"&amp;COUNTIF($A$2:$A142,$A142))</f>
        <v/>
      </c>
    </row>
    <row r="143">
      <c r="A143" s="29" t="n"/>
      <c r="B143" s="29" t="n"/>
      <c r="C143" s="29" t="n"/>
      <c r="D143" s="34" t="n"/>
      <c r="E143" s="29" t="n"/>
      <c r="F143" s="6" t="n"/>
      <c r="G143" s="6" t="n"/>
      <c r="H143" s="31" t="n"/>
      <c r="I143" s="6" t="n"/>
      <c r="J143" s="6" t="n"/>
      <c r="K143" s="17">
        <f>IF($A143="","",$A143&amp;"|"&amp;COUNTIF($A$2:$A143,$A143))</f>
        <v/>
      </c>
    </row>
    <row r="144">
      <c r="A144" s="29" t="n"/>
      <c r="B144" s="29" t="n"/>
      <c r="C144" s="29" t="n"/>
      <c r="D144" s="34" t="n"/>
      <c r="E144" s="29" t="n"/>
      <c r="F144" s="6" t="n"/>
      <c r="G144" s="6" t="n"/>
      <c r="H144" s="31" t="n"/>
      <c r="I144" s="6" t="n"/>
      <c r="J144" s="6" t="n"/>
      <c r="K144" s="17">
        <f>IF($A144="","",$A144&amp;"|"&amp;COUNTIF($A$2:$A144,$A144))</f>
        <v/>
      </c>
    </row>
    <row r="145">
      <c r="A145" s="29" t="n"/>
      <c r="B145" s="29" t="n"/>
      <c r="C145" s="29" t="n"/>
      <c r="D145" s="34" t="n"/>
      <c r="E145" s="29" t="n"/>
      <c r="F145" s="6" t="n"/>
      <c r="G145" s="6" t="n"/>
      <c r="H145" s="31" t="n"/>
      <c r="I145" s="6" t="n"/>
      <c r="J145" s="6" t="n"/>
      <c r="K145" s="17">
        <f>IF($A145="","",$A145&amp;"|"&amp;COUNTIF($A$2:$A145,$A145))</f>
        <v/>
      </c>
    </row>
    <row r="146">
      <c r="A146" s="29" t="n"/>
      <c r="B146" s="29" t="n"/>
      <c r="C146" s="29" t="n"/>
      <c r="D146" s="34" t="n"/>
      <c r="E146" s="29" t="n"/>
      <c r="F146" s="6" t="n"/>
      <c r="G146" s="6" t="n"/>
      <c r="H146" s="31" t="n"/>
      <c r="I146" s="6" t="n"/>
      <c r="J146" s="6" t="n"/>
      <c r="K146" s="17">
        <f>IF($A146="","",$A146&amp;"|"&amp;COUNTIF($A$2:$A146,$A146))</f>
        <v/>
      </c>
    </row>
    <row r="147">
      <c r="A147" s="29" t="n"/>
      <c r="B147" s="29" t="n"/>
      <c r="C147" s="29" t="n"/>
      <c r="D147" s="34" t="n"/>
      <c r="E147" s="29" t="n"/>
      <c r="F147" s="6" t="n"/>
      <c r="G147" s="6" t="n"/>
      <c r="H147" s="31" t="n"/>
      <c r="I147" s="6" t="n"/>
      <c r="J147" s="6" t="n"/>
      <c r="K147" s="17">
        <f>IF($A147="","",$A147&amp;"|"&amp;COUNTIF($A$2:$A147,$A147))</f>
        <v/>
      </c>
    </row>
    <row r="148">
      <c r="A148" s="29" t="n"/>
      <c r="B148" s="29" t="n"/>
      <c r="C148" s="29" t="n"/>
      <c r="D148" s="34" t="n"/>
      <c r="E148" s="29" t="n"/>
      <c r="F148" s="6" t="n"/>
      <c r="G148" s="6" t="n"/>
      <c r="H148" s="31" t="n"/>
      <c r="I148" s="6" t="n"/>
      <c r="J148" s="6" t="n"/>
      <c r="K148" s="17">
        <f>IF($A148="","",$A148&amp;"|"&amp;COUNTIF($A$2:$A148,$A148))</f>
        <v/>
      </c>
    </row>
    <row r="149">
      <c r="A149" s="29" t="n"/>
      <c r="B149" s="29" t="n"/>
      <c r="C149" s="29" t="n"/>
      <c r="D149" s="34" t="n"/>
      <c r="E149" s="29" t="n"/>
      <c r="F149" s="6" t="n"/>
      <c r="G149" s="6" t="n"/>
      <c r="H149" s="31" t="n"/>
      <c r="I149" s="6" t="n"/>
      <c r="J149" s="6" t="n"/>
      <c r="K149" s="17">
        <f>IF($A149="","",$A149&amp;"|"&amp;COUNTIF($A$2:$A149,$A149))</f>
        <v/>
      </c>
    </row>
    <row r="150">
      <c r="A150" s="29" t="n"/>
      <c r="B150" s="29" t="n"/>
      <c r="C150" s="29" t="n"/>
      <c r="D150" s="34" t="n"/>
      <c r="E150" s="29" t="n"/>
      <c r="F150" s="6" t="n"/>
      <c r="G150" s="6" t="n"/>
      <c r="H150" s="31" t="n"/>
      <c r="I150" s="6" t="n"/>
      <c r="J150" s="6" t="n"/>
      <c r="K150" s="17">
        <f>IF($A150="","",$A150&amp;"|"&amp;COUNTIF($A$2:$A150,$A150))</f>
        <v/>
      </c>
    </row>
    <row r="151">
      <c r="A151" s="29" t="n"/>
      <c r="B151" s="29" t="n"/>
      <c r="C151" s="29" t="n"/>
      <c r="D151" s="34" t="n"/>
      <c r="E151" s="29" t="n"/>
      <c r="F151" s="6" t="n"/>
      <c r="G151" s="6" t="n"/>
      <c r="H151" s="31" t="n"/>
      <c r="I151" s="6" t="n"/>
      <c r="J151" s="6" t="n"/>
      <c r="K151" s="17">
        <f>IF($A151="","",$A151&amp;"|"&amp;COUNTIF($A$2:$A151,$A151))</f>
        <v/>
      </c>
    </row>
    <row r="152">
      <c r="A152" s="29" t="n"/>
      <c r="B152" s="29" t="n"/>
      <c r="C152" s="29" t="n"/>
      <c r="D152" s="34" t="n"/>
      <c r="E152" s="29" t="n"/>
      <c r="F152" s="6" t="n"/>
      <c r="G152" s="6" t="n"/>
      <c r="H152" s="31" t="n"/>
      <c r="I152" s="6" t="n"/>
      <c r="J152" s="6" t="n"/>
      <c r="K152" s="17">
        <f>IF($A152="","",$A152&amp;"|"&amp;COUNTIF($A$2:$A152,$A152))</f>
        <v/>
      </c>
    </row>
    <row r="153">
      <c r="A153" s="29" t="n"/>
      <c r="B153" s="29" t="n"/>
      <c r="C153" s="29" t="n"/>
      <c r="D153" s="34" t="n"/>
      <c r="E153" s="29" t="n"/>
      <c r="F153" s="6" t="n"/>
      <c r="G153" s="6" t="n"/>
      <c r="H153" s="31" t="n"/>
      <c r="I153" s="6" t="n"/>
      <c r="J153" s="6" t="n"/>
      <c r="K153" s="17">
        <f>IF($A153="","",$A153&amp;"|"&amp;COUNTIF($A$2:$A153,$A153))</f>
        <v/>
      </c>
    </row>
    <row r="154">
      <c r="A154" s="29" t="n"/>
      <c r="B154" s="29" t="n"/>
      <c r="C154" s="29" t="n"/>
      <c r="D154" s="34" t="n"/>
      <c r="E154" s="29" t="n"/>
      <c r="F154" s="6" t="n"/>
      <c r="G154" s="6" t="n"/>
      <c r="H154" s="31" t="n"/>
      <c r="I154" s="6" t="n"/>
      <c r="J154" s="6" t="n"/>
      <c r="K154" s="17">
        <f>IF($A154="","",$A154&amp;"|"&amp;COUNTIF($A$2:$A154,$A154))</f>
        <v/>
      </c>
    </row>
    <row r="155">
      <c r="A155" s="29" t="n"/>
      <c r="B155" s="29" t="n"/>
      <c r="C155" s="29" t="n"/>
      <c r="D155" s="34" t="n"/>
      <c r="E155" s="29" t="n"/>
      <c r="F155" s="6" t="n"/>
      <c r="G155" s="6" t="n"/>
      <c r="H155" s="31" t="n"/>
      <c r="I155" s="6" t="n"/>
      <c r="J155" s="6" t="n"/>
      <c r="K155" s="17">
        <f>IF($A155="","",$A155&amp;"|"&amp;COUNTIF($A$2:$A155,$A155))</f>
        <v/>
      </c>
    </row>
    <row r="156">
      <c r="A156" s="29" t="n"/>
      <c r="B156" s="29" t="n"/>
      <c r="C156" s="29" t="n"/>
      <c r="D156" s="34" t="n"/>
      <c r="E156" s="29" t="n"/>
      <c r="F156" s="6" t="n"/>
      <c r="G156" s="6" t="n"/>
      <c r="H156" s="31" t="n"/>
      <c r="I156" s="6" t="n"/>
      <c r="J156" s="6" t="n"/>
      <c r="K156" s="17">
        <f>IF($A156="","",$A156&amp;"|"&amp;COUNTIF($A$2:$A156,$A156))</f>
        <v/>
      </c>
    </row>
    <row r="157">
      <c r="A157" s="29" t="n"/>
      <c r="B157" s="29" t="n"/>
      <c r="C157" s="29" t="n"/>
      <c r="D157" s="34" t="n"/>
      <c r="E157" s="29" t="n"/>
      <c r="F157" s="6" t="n"/>
      <c r="G157" s="6" t="n"/>
      <c r="H157" s="31" t="n"/>
      <c r="I157" s="6" t="n"/>
      <c r="J157" s="6" t="n"/>
      <c r="K157" s="17">
        <f>IF($A157="","",$A157&amp;"|"&amp;COUNTIF($A$2:$A157,$A157))</f>
        <v/>
      </c>
    </row>
    <row r="158">
      <c r="A158" s="29" t="n"/>
      <c r="B158" s="29" t="n"/>
      <c r="C158" s="29" t="n"/>
      <c r="D158" s="34" t="n"/>
      <c r="E158" s="29" t="n"/>
      <c r="F158" s="6" t="n"/>
      <c r="G158" s="6" t="n"/>
      <c r="H158" s="31" t="n"/>
      <c r="I158" s="6" t="n"/>
      <c r="J158" s="6" t="n"/>
      <c r="K158" s="17">
        <f>IF($A158="","",$A158&amp;"|"&amp;COUNTIF($A$2:$A158,$A158))</f>
        <v/>
      </c>
    </row>
    <row r="159">
      <c r="A159" s="29" t="n"/>
      <c r="B159" s="29" t="n"/>
      <c r="C159" s="29" t="n"/>
      <c r="D159" s="34" t="n"/>
      <c r="E159" s="29" t="n"/>
      <c r="F159" s="6" t="n"/>
      <c r="G159" s="6" t="n"/>
      <c r="H159" s="31" t="n"/>
      <c r="I159" s="6" t="n"/>
      <c r="J159" s="6" t="n"/>
      <c r="K159" s="17">
        <f>IF($A159="","",$A159&amp;"|"&amp;COUNTIF($A$2:$A159,$A159))</f>
        <v/>
      </c>
    </row>
    <row r="160">
      <c r="A160" s="29" t="n"/>
      <c r="B160" s="29" t="n"/>
      <c r="C160" s="29" t="n"/>
      <c r="D160" s="34" t="n"/>
      <c r="E160" s="29" t="n"/>
      <c r="F160" s="6" t="n"/>
      <c r="G160" s="6" t="n"/>
      <c r="H160" s="31" t="n"/>
      <c r="I160" s="6" t="n"/>
      <c r="J160" s="6" t="n"/>
      <c r="K160" s="17">
        <f>IF($A160="","",$A160&amp;"|"&amp;COUNTIF($A$2:$A160,$A160))</f>
        <v/>
      </c>
    </row>
    <row r="161">
      <c r="A161" s="29" t="n"/>
      <c r="B161" s="29" t="n"/>
      <c r="C161" s="29" t="n"/>
      <c r="D161" s="34" t="n"/>
      <c r="E161" s="29" t="n"/>
      <c r="F161" s="6" t="n"/>
      <c r="G161" s="6" t="n"/>
      <c r="H161" s="31" t="n"/>
      <c r="I161" s="6" t="n"/>
      <c r="J161" s="6" t="n"/>
      <c r="K161" s="17">
        <f>IF($A161="","",$A161&amp;"|"&amp;COUNTIF($A$2:$A161,$A161))</f>
        <v/>
      </c>
    </row>
    <row r="162">
      <c r="A162" s="29" t="n"/>
      <c r="B162" s="29" t="n"/>
      <c r="C162" s="29" t="n"/>
      <c r="D162" s="34" t="n"/>
      <c r="E162" s="29" t="n"/>
      <c r="F162" s="6" t="n"/>
      <c r="G162" s="6" t="n"/>
      <c r="H162" s="31" t="n"/>
      <c r="I162" s="6" t="n"/>
      <c r="J162" s="6" t="n"/>
      <c r="K162" s="17">
        <f>IF($A162="","",$A162&amp;"|"&amp;COUNTIF($A$2:$A162,$A162))</f>
        <v/>
      </c>
    </row>
    <row r="163">
      <c r="A163" s="29" t="n"/>
      <c r="B163" s="29" t="n"/>
      <c r="C163" s="29" t="n"/>
      <c r="D163" s="34" t="n"/>
      <c r="E163" s="29" t="n"/>
      <c r="F163" s="6" t="n"/>
      <c r="G163" s="6" t="n"/>
      <c r="H163" s="31" t="n"/>
      <c r="I163" s="6" t="n"/>
      <c r="J163" s="6" t="n"/>
      <c r="K163" s="17">
        <f>IF($A163="","",$A163&amp;"|"&amp;COUNTIF($A$2:$A163,$A163))</f>
        <v/>
      </c>
    </row>
    <row r="164">
      <c r="A164" s="29" t="n"/>
      <c r="B164" s="29" t="n"/>
      <c r="C164" s="29" t="n"/>
      <c r="D164" s="34" t="n"/>
      <c r="E164" s="29" t="n"/>
      <c r="F164" s="6" t="n"/>
      <c r="G164" s="6" t="n"/>
      <c r="H164" s="31" t="n"/>
      <c r="I164" s="6" t="n"/>
      <c r="J164" s="6" t="n"/>
      <c r="K164" s="17">
        <f>IF($A164="","",$A164&amp;"|"&amp;COUNTIF($A$2:$A164,$A164))</f>
        <v/>
      </c>
    </row>
    <row r="165">
      <c r="A165" s="29" t="n"/>
      <c r="B165" s="29" t="n"/>
      <c r="C165" s="29" t="n"/>
      <c r="D165" s="34" t="n"/>
      <c r="E165" s="29" t="n"/>
      <c r="F165" s="6" t="n"/>
      <c r="G165" s="6" t="n"/>
      <c r="H165" s="31" t="n"/>
      <c r="I165" s="6" t="n"/>
      <c r="J165" s="6" t="n"/>
      <c r="K165" s="17">
        <f>IF($A165="","",$A165&amp;"|"&amp;COUNTIF($A$2:$A165,$A165))</f>
        <v/>
      </c>
    </row>
    <row r="166">
      <c r="A166" s="29" t="n"/>
      <c r="B166" s="29" t="n"/>
      <c r="C166" s="29" t="n"/>
      <c r="D166" s="34" t="n"/>
      <c r="E166" s="29" t="n"/>
      <c r="F166" s="6" t="n"/>
      <c r="G166" s="6" t="n"/>
      <c r="H166" s="31" t="n"/>
      <c r="I166" s="6" t="n"/>
      <c r="J166" s="6" t="n"/>
      <c r="K166" s="17">
        <f>IF($A166="","",$A166&amp;"|"&amp;COUNTIF($A$2:$A166,$A166))</f>
        <v/>
      </c>
    </row>
    <row r="167">
      <c r="A167" s="29" t="n"/>
      <c r="B167" s="29" t="n"/>
      <c r="C167" s="29" t="n"/>
      <c r="D167" s="34" t="n"/>
      <c r="E167" s="29" t="n"/>
      <c r="F167" s="6" t="n"/>
      <c r="G167" s="6" t="n"/>
      <c r="H167" s="31" t="n"/>
      <c r="I167" s="6" t="n"/>
      <c r="J167" s="6" t="n"/>
      <c r="K167" s="17">
        <f>IF($A167="","",$A167&amp;"|"&amp;COUNTIF($A$2:$A167,$A167))</f>
        <v/>
      </c>
    </row>
    <row r="168">
      <c r="A168" s="29" t="n"/>
      <c r="B168" s="29" t="n"/>
      <c r="C168" s="29" t="n"/>
      <c r="D168" s="34" t="n"/>
      <c r="E168" s="29" t="n"/>
      <c r="F168" s="6" t="n"/>
      <c r="G168" s="6" t="n"/>
      <c r="H168" s="31" t="n"/>
      <c r="I168" s="6" t="n"/>
      <c r="J168" s="6" t="n"/>
      <c r="K168" s="17">
        <f>IF($A168="","",$A168&amp;"|"&amp;COUNTIF($A$2:$A168,$A168))</f>
        <v/>
      </c>
    </row>
    <row r="169">
      <c r="A169" s="29" t="n"/>
      <c r="B169" s="29" t="n"/>
      <c r="C169" s="29" t="n"/>
      <c r="D169" s="34" t="n"/>
      <c r="E169" s="29" t="n"/>
      <c r="F169" s="6" t="n"/>
      <c r="G169" s="6" t="n"/>
      <c r="H169" s="31" t="n"/>
      <c r="I169" s="6" t="n"/>
      <c r="J169" s="6" t="n"/>
      <c r="K169" s="17">
        <f>IF($A169="","",$A169&amp;"|"&amp;COUNTIF($A$2:$A169,$A169))</f>
        <v/>
      </c>
    </row>
    <row r="170">
      <c r="A170" s="29" t="n"/>
      <c r="B170" s="29" t="n"/>
      <c r="C170" s="29" t="n"/>
      <c r="D170" s="34" t="n"/>
      <c r="E170" s="29" t="n"/>
      <c r="F170" s="6" t="n"/>
      <c r="G170" s="6" t="n"/>
      <c r="H170" s="31" t="n"/>
      <c r="I170" s="6" t="n"/>
      <c r="J170" s="6" t="n"/>
      <c r="K170" s="17">
        <f>IF($A170="","",$A170&amp;"|"&amp;COUNTIF($A$2:$A170,$A170))</f>
        <v/>
      </c>
    </row>
    <row r="171">
      <c r="A171" s="29" t="n"/>
      <c r="B171" s="29" t="n"/>
      <c r="C171" s="29" t="n"/>
      <c r="D171" s="34" t="n"/>
      <c r="E171" s="29" t="n"/>
      <c r="F171" s="6" t="n"/>
      <c r="G171" s="6" t="n"/>
      <c r="H171" s="31" t="n"/>
      <c r="I171" s="6" t="n"/>
      <c r="J171" s="6" t="n"/>
      <c r="K171" s="17">
        <f>IF($A171="","",$A171&amp;"|"&amp;COUNTIF($A$2:$A171,$A171))</f>
        <v/>
      </c>
    </row>
    <row r="172">
      <c r="A172" s="29" t="n"/>
      <c r="B172" s="29" t="n"/>
      <c r="C172" s="29" t="n"/>
      <c r="D172" s="34" t="n"/>
      <c r="E172" s="29" t="n"/>
      <c r="F172" s="6" t="n"/>
      <c r="G172" s="6" t="n"/>
      <c r="H172" s="31" t="n"/>
      <c r="I172" s="6" t="n"/>
      <c r="J172" s="6" t="n"/>
      <c r="K172" s="17">
        <f>IF($A172="","",$A172&amp;"|"&amp;COUNTIF($A$2:$A172,$A172))</f>
        <v/>
      </c>
    </row>
    <row r="173">
      <c r="A173" s="29" t="n"/>
      <c r="B173" s="29" t="n"/>
      <c r="C173" s="29" t="n"/>
      <c r="D173" s="34" t="n"/>
      <c r="E173" s="29" t="n"/>
      <c r="F173" s="6" t="n"/>
      <c r="G173" s="6" t="n"/>
      <c r="H173" s="31" t="n"/>
      <c r="I173" s="6" t="n"/>
      <c r="J173" s="6" t="n"/>
      <c r="K173" s="17">
        <f>IF($A173="","",$A173&amp;"|"&amp;COUNTIF($A$2:$A173,$A173))</f>
        <v/>
      </c>
    </row>
    <row r="174">
      <c r="A174" s="29" t="n"/>
      <c r="B174" s="29" t="n"/>
      <c r="C174" s="29" t="n"/>
      <c r="D174" s="34" t="n"/>
      <c r="E174" s="29" t="n"/>
      <c r="F174" s="6" t="n"/>
      <c r="G174" s="6" t="n"/>
      <c r="H174" s="31" t="n"/>
      <c r="I174" s="6" t="n"/>
      <c r="J174" s="6" t="n"/>
      <c r="K174" s="17">
        <f>IF($A174="","",$A174&amp;"|"&amp;COUNTIF($A$2:$A174,$A174))</f>
        <v/>
      </c>
    </row>
    <row r="175">
      <c r="A175" s="29" t="n"/>
      <c r="B175" s="29" t="n"/>
      <c r="C175" s="29" t="n"/>
      <c r="D175" s="34" t="n"/>
      <c r="E175" s="29" t="n"/>
      <c r="F175" s="6" t="n"/>
      <c r="G175" s="6" t="n"/>
      <c r="H175" s="31" t="n"/>
      <c r="I175" s="6" t="n"/>
      <c r="J175" s="6" t="n"/>
      <c r="K175" s="17">
        <f>IF($A175="","",$A175&amp;"|"&amp;COUNTIF($A$2:$A175,$A175))</f>
        <v/>
      </c>
    </row>
    <row r="176">
      <c r="A176" s="29" t="n"/>
      <c r="B176" s="29" t="n"/>
      <c r="C176" s="29" t="n"/>
      <c r="D176" s="34" t="n"/>
      <c r="E176" s="29" t="n"/>
      <c r="F176" s="6" t="n"/>
      <c r="G176" s="6" t="n"/>
      <c r="H176" s="31" t="n"/>
      <c r="I176" s="6" t="n"/>
      <c r="J176" s="6" t="n"/>
      <c r="K176" s="17">
        <f>IF($A176="","",$A176&amp;"|"&amp;COUNTIF($A$2:$A176,$A176))</f>
        <v/>
      </c>
    </row>
    <row r="177">
      <c r="A177" s="29" t="n"/>
      <c r="B177" s="29" t="n"/>
      <c r="C177" s="29" t="n"/>
      <c r="D177" s="34" t="n"/>
      <c r="E177" s="29" t="n"/>
      <c r="F177" s="6" t="n"/>
      <c r="G177" s="6" t="n"/>
      <c r="H177" s="31" t="n"/>
      <c r="I177" s="6" t="n"/>
      <c r="J177" s="6" t="n"/>
      <c r="K177" s="17">
        <f>IF($A177="","",$A177&amp;"|"&amp;COUNTIF($A$2:$A177,$A177))</f>
        <v/>
      </c>
    </row>
    <row r="178">
      <c r="A178" s="29" t="n"/>
      <c r="B178" s="29" t="n"/>
      <c r="C178" s="29" t="n"/>
      <c r="D178" s="34" t="n"/>
      <c r="E178" s="29" t="n"/>
      <c r="F178" s="6" t="n"/>
      <c r="G178" s="6" t="n"/>
      <c r="H178" s="31" t="n"/>
      <c r="I178" s="6" t="n"/>
      <c r="J178" s="6" t="n"/>
      <c r="K178" s="17">
        <f>IF($A178="","",$A178&amp;"|"&amp;COUNTIF($A$2:$A178,$A178))</f>
        <v/>
      </c>
    </row>
    <row r="179">
      <c r="A179" s="29" t="n"/>
      <c r="B179" s="29" t="n"/>
      <c r="C179" s="29" t="n"/>
      <c r="D179" s="34" t="n"/>
      <c r="E179" s="29" t="n"/>
      <c r="F179" s="6" t="n"/>
      <c r="G179" s="6" t="n"/>
      <c r="H179" s="31" t="n"/>
      <c r="I179" s="6" t="n"/>
      <c r="J179" s="6" t="n"/>
      <c r="K179" s="17">
        <f>IF($A179="","",$A179&amp;"|"&amp;COUNTIF($A$2:$A179,$A179))</f>
        <v/>
      </c>
    </row>
    <row r="180">
      <c r="A180" s="29" t="n"/>
      <c r="B180" s="29" t="n"/>
      <c r="C180" s="29" t="n"/>
      <c r="D180" s="34" t="n"/>
      <c r="E180" s="29" t="n"/>
      <c r="F180" s="6" t="n"/>
      <c r="G180" s="6" t="n"/>
      <c r="H180" s="31" t="n"/>
      <c r="I180" s="6" t="n"/>
      <c r="J180" s="6" t="n"/>
      <c r="K180" s="17">
        <f>IF($A180="","",$A180&amp;"|"&amp;COUNTIF($A$2:$A180,$A180))</f>
        <v/>
      </c>
    </row>
    <row r="181">
      <c r="A181" s="29" t="n"/>
      <c r="B181" s="29" t="n"/>
      <c r="C181" s="29" t="n"/>
      <c r="D181" s="34" t="n"/>
      <c r="E181" s="29" t="n"/>
      <c r="F181" s="6" t="n"/>
      <c r="G181" s="6" t="n"/>
      <c r="H181" s="31" t="n"/>
      <c r="I181" s="6" t="n"/>
      <c r="J181" s="6" t="n"/>
      <c r="K181" s="17">
        <f>IF($A181="","",$A181&amp;"|"&amp;COUNTIF($A$2:$A181,$A181))</f>
        <v/>
      </c>
    </row>
    <row r="182">
      <c r="A182" s="29" t="n"/>
      <c r="B182" s="29" t="n"/>
      <c r="C182" s="29" t="n"/>
      <c r="D182" s="34" t="n"/>
      <c r="E182" s="29" t="n"/>
      <c r="F182" s="6" t="n"/>
      <c r="G182" s="6" t="n"/>
      <c r="H182" s="31" t="n"/>
      <c r="I182" s="6" t="n"/>
      <c r="J182" s="6" t="n"/>
      <c r="K182" s="17">
        <f>IF($A182="","",$A182&amp;"|"&amp;COUNTIF($A$2:$A182,$A182))</f>
        <v/>
      </c>
    </row>
    <row r="183">
      <c r="A183" s="29" t="n"/>
      <c r="B183" s="29" t="n"/>
      <c r="C183" s="29" t="n"/>
      <c r="D183" s="34" t="n"/>
      <c r="E183" s="29" t="n"/>
      <c r="F183" s="6" t="n"/>
      <c r="G183" s="6" t="n"/>
      <c r="H183" s="31" t="n"/>
      <c r="I183" s="6" t="n"/>
      <c r="J183" s="6" t="n"/>
      <c r="K183" s="17">
        <f>IF($A183="","",$A183&amp;"|"&amp;COUNTIF($A$2:$A183,$A183))</f>
        <v/>
      </c>
    </row>
    <row r="184">
      <c r="A184" s="29" t="n"/>
      <c r="B184" s="29" t="n"/>
      <c r="C184" s="29" t="n"/>
      <c r="D184" s="34" t="n"/>
      <c r="E184" s="29" t="n"/>
      <c r="F184" s="6" t="n"/>
      <c r="G184" s="6" t="n"/>
      <c r="H184" s="31" t="n"/>
      <c r="I184" s="6" t="n"/>
      <c r="J184" s="6" t="n"/>
      <c r="K184" s="17">
        <f>IF($A184="","",$A184&amp;"|"&amp;COUNTIF($A$2:$A184,$A184))</f>
        <v/>
      </c>
    </row>
    <row r="185">
      <c r="A185" s="29" t="n"/>
      <c r="B185" s="29" t="n"/>
      <c r="C185" s="29" t="n"/>
      <c r="D185" s="34" t="n"/>
      <c r="E185" s="29" t="n"/>
      <c r="F185" s="6" t="n"/>
      <c r="G185" s="6" t="n"/>
      <c r="H185" s="31" t="n"/>
      <c r="I185" s="6" t="n"/>
      <c r="J185" s="6" t="n"/>
      <c r="K185" s="17">
        <f>IF($A185="","",$A185&amp;"|"&amp;COUNTIF($A$2:$A185,$A185))</f>
        <v/>
      </c>
    </row>
    <row r="186">
      <c r="A186" s="29" t="n"/>
      <c r="B186" s="29" t="n"/>
      <c r="C186" s="29" t="n"/>
      <c r="D186" s="34" t="n"/>
      <c r="E186" s="29" t="n"/>
      <c r="F186" s="6" t="n"/>
      <c r="G186" s="6" t="n"/>
      <c r="H186" s="31" t="n"/>
      <c r="I186" s="6" t="n"/>
      <c r="J186" s="6" t="n"/>
      <c r="K186" s="17">
        <f>IF($A186="","",$A186&amp;"|"&amp;COUNTIF($A$2:$A186,$A186))</f>
        <v/>
      </c>
    </row>
    <row r="187">
      <c r="A187" s="29" t="n"/>
      <c r="B187" s="29" t="n"/>
      <c r="C187" s="29" t="n"/>
      <c r="D187" s="34" t="n"/>
      <c r="E187" s="29" t="n"/>
      <c r="F187" s="6" t="n"/>
      <c r="G187" s="6" t="n"/>
      <c r="H187" s="31" t="n"/>
      <c r="I187" s="6" t="n"/>
      <c r="J187" s="6" t="n"/>
      <c r="K187" s="17">
        <f>IF($A187="","",$A187&amp;"|"&amp;COUNTIF($A$2:$A187,$A187))</f>
        <v/>
      </c>
    </row>
    <row r="188">
      <c r="A188" s="29" t="n"/>
      <c r="B188" s="29" t="n"/>
      <c r="C188" s="29" t="n"/>
      <c r="D188" s="34" t="n"/>
      <c r="E188" s="29" t="n"/>
      <c r="F188" s="6" t="n"/>
      <c r="G188" s="6" t="n"/>
      <c r="H188" s="31" t="n"/>
      <c r="I188" s="6" t="n"/>
      <c r="J188" s="6" t="n"/>
      <c r="K188" s="17">
        <f>IF($A188="","",$A188&amp;"|"&amp;COUNTIF($A$2:$A188,$A188))</f>
        <v/>
      </c>
    </row>
    <row r="189">
      <c r="A189" s="29" t="n"/>
      <c r="B189" s="29" t="n"/>
      <c r="C189" s="29" t="n"/>
      <c r="D189" s="34" t="n"/>
      <c r="E189" s="29" t="n"/>
      <c r="F189" s="6" t="n"/>
      <c r="G189" s="6" t="n"/>
      <c r="H189" s="31" t="n"/>
      <c r="I189" s="6" t="n"/>
      <c r="J189" s="6" t="n"/>
      <c r="K189" s="17">
        <f>IF($A189="","",$A189&amp;"|"&amp;COUNTIF($A$2:$A189,$A189))</f>
        <v/>
      </c>
    </row>
    <row r="190">
      <c r="A190" s="29" t="n"/>
      <c r="B190" s="29" t="n"/>
      <c r="C190" s="29" t="n"/>
      <c r="D190" s="34" t="n"/>
      <c r="E190" s="29" t="n"/>
      <c r="F190" s="6" t="n"/>
      <c r="G190" s="6" t="n"/>
      <c r="H190" s="31" t="n"/>
      <c r="I190" s="6" t="n"/>
      <c r="J190" s="6" t="n"/>
      <c r="K190" s="17">
        <f>IF($A190="","",$A190&amp;"|"&amp;COUNTIF($A$2:$A190,$A190))</f>
        <v/>
      </c>
    </row>
    <row r="191">
      <c r="A191" s="29" t="n"/>
      <c r="B191" s="29" t="n"/>
      <c r="C191" s="29" t="n"/>
      <c r="D191" s="34" t="n"/>
      <c r="E191" s="29" t="n"/>
      <c r="F191" s="6" t="n"/>
      <c r="G191" s="6" t="n"/>
      <c r="H191" s="31" t="n"/>
      <c r="I191" s="6" t="n"/>
      <c r="J191" s="6" t="n"/>
      <c r="K191" s="17">
        <f>IF($A191="","",$A191&amp;"|"&amp;COUNTIF($A$2:$A191,$A191))</f>
        <v/>
      </c>
    </row>
    <row r="192">
      <c r="A192" s="29" t="n"/>
      <c r="B192" s="29" t="n"/>
      <c r="C192" s="29" t="n"/>
      <c r="D192" s="34" t="n"/>
      <c r="E192" s="29" t="n"/>
      <c r="F192" s="6" t="n"/>
      <c r="G192" s="6" t="n"/>
      <c r="H192" s="31" t="n"/>
      <c r="I192" s="6" t="n"/>
      <c r="J192" s="6" t="n"/>
      <c r="K192" s="17">
        <f>IF($A192="","",$A192&amp;"|"&amp;COUNTIF($A$2:$A192,$A192))</f>
        <v/>
      </c>
    </row>
    <row r="193">
      <c r="A193" s="29" t="n"/>
      <c r="B193" s="29" t="n"/>
      <c r="C193" s="29" t="n"/>
      <c r="D193" s="34" t="n"/>
      <c r="E193" s="29" t="n"/>
      <c r="F193" s="6" t="n"/>
      <c r="G193" s="6" t="n"/>
      <c r="H193" s="31" t="n"/>
      <c r="I193" s="6" t="n"/>
      <c r="J193" s="6" t="n"/>
      <c r="K193" s="17">
        <f>IF($A193="","",$A193&amp;"|"&amp;COUNTIF($A$2:$A193,$A193))</f>
        <v/>
      </c>
    </row>
    <row r="194">
      <c r="A194" s="29" t="n"/>
      <c r="B194" s="29" t="n"/>
      <c r="C194" s="29" t="n"/>
      <c r="D194" s="34" t="n"/>
      <c r="E194" s="29" t="n"/>
      <c r="F194" s="6" t="n"/>
      <c r="G194" s="6" t="n"/>
      <c r="H194" s="31" t="n"/>
      <c r="I194" s="6" t="n"/>
      <c r="J194" s="6" t="n"/>
      <c r="K194" s="17">
        <f>IF($A194="","",$A194&amp;"|"&amp;COUNTIF($A$2:$A194,$A194))</f>
        <v/>
      </c>
    </row>
    <row r="195">
      <c r="A195" s="29" t="n"/>
      <c r="B195" s="29" t="n"/>
      <c r="C195" s="29" t="n"/>
      <c r="D195" s="34" t="n"/>
      <c r="E195" s="29" t="n"/>
      <c r="F195" s="6" t="n"/>
      <c r="G195" s="6" t="n"/>
      <c r="H195" s="31" t="n"/>
      <c r="I195" s="6" t="n"/>
      <c r="J195" s="6" t="n"/>
      <c r="K195" s="17">
        <f>IF($A195="","",$A195&amp;"|"&amp;COUNTIF($A$2:$A195,$A195))</f>
        <v/>
      </c>
    </row>
    <row r="196">
      <c r="A196" s="29" t="n"/>
      <c r="B196" s="29" t="n"/>
      <c r="C196" s="29" t="n"/>
      <c r="D196" s="34" t="n"/>
      <c r="E196" s="29" t="n"/>
      <c r="F196" s="6" t="n"/>
      <c r="G196" s="6" t="n"/>
      <c r="H196" s="31" t="n"/>
      <c r="I196" s="6" t="n"/>
      <c r="J196" s="6" t="n"/>
      <c r="K196" s="17">
        <f>IF($A196="","",$A196&amp;"|"&amp;COUNTIF($A$2:$A196,$A196))</f>
        <v/>
      </c>
    </row>
    <row r="197">
      <c r="A197" s="29" t="n"/>
      <c r="B197" s="29" t="n"/>
      <c r="C197" s="29" t="n"/>
      <c r="D197" s="34" t="n"/>
      <c r="E197" s="29" t="n"/>
      <c r="F197" s="6" t="n"/>
      <c r="G197" s="6" t="n"/>
      <c r="H197" s="31" t="n"/>
      <c r="I197" s="6" t="n"/>
      <c r="J197" s="6" t="n"/>
      <c r="K197" s="17">
        <f>IF($A197="","",$A197&amp;"|"&amp;COUNTIF($A$2:$A197,$A197))</f>
        <v/>
      </c>
    </row>
    <row r="198">
      <c r="A198" s="29" t="n"/>
      <c r="B198" s="29" t="n"/>
      <c r="C198" s="29" t="n"/>
      <c r="D198" s="34" t="n"/>
      <c r="E198" s="29" t="n"/>
      <c r="F198" s="6" t="n"/>
      <c r="G198" s="6" t="n"/>
      <c r="H198" s="31" t="n"/>
      <c r="I198" s="6" t="n"/>
      <c r="J198" s="6" t="n"/>
      <c r="K198" s="17">
        <f>IF($A198="","",$A198&amp;"|"&amp;COUNTIF($A$2:$A198,$A198))</f>
        <v/>
      </c>
    </row>
    <row r="199">
      <c r="A199" s="29" t="n"/>
      <c r="B199" s="29" t="n"/>
      <c r="C199" s="29" t="n"/>
      <c r="D199" s="34" t="n"/>
      <c r="E199" s="29" t="n"/>
      <c r="F199" s="6" t="n"/>
      <c r="G199" s="6" t="n"/>
      <c r="H199" s="31" t="n"/>
      <c r="I199" s="6" t="n"/>
      <c r="J199" s="6" t="n"/>
      <c r="K199" s="17">
        <f>IF($A199="","",$A199&amp;"|"&amp;COUNTIF($A$2:$A199,$A199))</f>
        <v/>
      </c>
    </row>
    <row r="200">
      <c r="A200" s="29" t="n"/>
      <c r="B200" s="29" t="n"/>
      <c r="C200" s="29" t="n"/>
      <c r="D200" s="34" t="n"/>
      <c r="E200" s="29" t="n"/>
      <c r="F200" s="6" t="n"/>
      <c r="G200" s="6" t="n"/>
      <c r="H200" s="31" t="n"/>
      <c r="I200" s="6" t="n"/>
      <c r="J200" s="6" t="n"/>
      <c r="K200" s="17">
        <f>IF($A200="","",$A200&amp;"|"&amp;COUNTIF($A$2:$A200,$A200))</f>
        <v/>
      </c>
    </row>
    <row r="201">
      <c r="A201" s="29" t="n"/>
      <c r="B201" s="29" t="n"/>
      <c r="C201" s="29" t="n"/>
      <c r="D201" s="34" t="n"/>
      <c r="E201" s="29" t="n"/>
      <c r="F201" s="6" t="n"/>
      <c r="G201" s="6" t="n"/>
      <c r="H201" s="31" t="n"/>
      <c r="I201" s="6" t="n"/>
      <c r="J201" s="6" t="n"/>
      <c r="K201" s="17">
        <f>IF($A201="","",$A201&amp;"|"&amp;COUNTIF($A$2:$A201,$A201))</f>
        <v/>
      </c>
    </row>
    <row r="202">
      <c r="A202" s="29" t="n"/>
      <c r="B202" s="29" t="n"/>
      <c r="C202" s="29" t="n"/>
      <c r="D202" s="34" t="n"/>
      <c r="E202" s="29" t="n"/>
      <c r="F202" s="6" t="n"/>
      <c r="G202" s="6" t="n"/>
      <c r="H202" s="31" t="n"/>
      <c r="I202" s="6" t="n"/>
      <c r="J202" s="6" t="n"/>
      <c r="K202" s="17">
        <f>IF($A202="","",$A202&amp;"|"&amp;COUNTIF($A$2:$A202,$A202))</f>
        <v/>
      </c>
    </row>
    <row r="203">
      <c r="A203" s="29" t="n"/>
      <c r="B203" s="29" t="n"/>
      <c r="C203" s="29" t="n"/>
      <c r="D203" s="34" t="n"/>
      <c r="E203" s="29" t="n"/>
      <c r="F203" s="6" t="n"/>
      <c r="G203" s="6" t="n"/>
      <c r="H203" s="31" t="n"/>
      <c r="I203" s="6" t="n"/>
      <c r="J203" s="6" t="n"/>
      <c r="K203" s="17">
        <f>IF($A203="","",$A203&amp;"|"&amp;COUNTIF($A$2:$A203,$A203))</f>
        <v/>
      </c>
    </row>
    <row r="204">
      <c r="A204" s="29" t="n"/>
      <c r="B204" s="29" t="n"/>
      <c r="C204" s="29" t="n"/>
      <c r="D204" s="34" t="n"/>
      <c r="E204" s="29" t="n"/>
      <c r="F204" s="6" t="n"/>
      <c r="G204" s="6" t="n"/>
      <c r="H204" s="31" t="n"/>
      <c r="I204" s="6" t="n"/>
      <c r="J204" s="6" t="n"/>
      <c r="K204" s="17">
        <f>IF($A204="","",$A204&amp;"|"&amp;COUNTIF($A$2:$A204,$A204))</f>
        <v/>
      </c>
    </row>
    <row r="205">
      <c r="A205" s="29" t="n"/>
      <c r="B205" s="29" t="n"/>
      <c r="C205" s="29" t="n"/>
      <c r="D205" s="34" t="n"/>
      <c r="E205" s="29" t="n"/>
      <c r="F205" s="6" t="n"/>
      <c r="G205" s="6" t="n"/>
      <c r="H205" s="31" t="n"/>
      <c r="I205" s="6" t="n"/>
      <c r="J205" s="6" t="n"/>
      <c r="K205" s="17">
        <f>IF($A205="","",$A205&amp;"|"&amp;COUNTIF($A$2:$A205,$A205))</f>
        <v/>
      </c>
    </row>
    <row r="206">
      <c r="A206" s="29" t="n"/>
      <c r="B206" s="29" t="n"/>
      <c r="C206" s="29" t="n"/>
      <c r="D206" s="34" t="n"/>
      <c r="E206" s="29" t="n"/>
      <c r="F206" s="6" t="n"/>
      <c r="G206" s="6" t="n"/>
      <c r="H206" s="31" t="n"/>
      <c r="I206" s="6" t="n"/>
      <c r="J206" s="6" t="n"/>
      <c r="K206" s="17">
        <f>IF($A206="","",$A206&amp;"|"&amp;COUNTIF($A$2:$A206,$A206))</f>
        <v/>
      </c>
    </row>
    <row r="207">
      <c r="A207" s="29" t="n"/>
      <c r="B207" s="29" t="n"/>
      <c r="C207" s="29" t="n"/>
      <c r="D207" s="34" t="n"/>
      <c r="E207" s="29" t="n"/>
      <c r="F207" s="6" t="n"/>
      <c r="G207" s="6" t="n"/>
      <c r="H207" s="31" t="n"/>
      <c r="I207" s="6" t="n"/>
      <c r="J207" s="6" t="n"/>
      <c r="K207" s="17">
        <f>IF($A207="","",$A207&amp;"|"&amp;COUNTIF($A$2:$A207,$A207))</f>
        <v/>
      </c>
    </row>
    <row r="208">
      <c r="A208" s="29" t="n"/>
      <c r="B208" s="29" t="n"/>
      <c r="C208" s="29" t="n"/>
      <c r="D208" s="34" t="n"/>
      <c r="E208" s="29" t="n"/>
      <c r="F208" s="6" t="n"/>
      <c r="G208" s="6" t="n"/>
      <c r="H208" s="31" t="n"/>
      <c r="I208" s="6" t="n"/>
      <c r="J208" s="6" t="n"/>
      <c r="K208" s="17">
        <f>IF($A208="","",$A208&amp;"|"&amp;COUNTIF($A$2:$A208,$A208))</f>
        <v/>
      </c>
    </row>
    <row r="209">
      <c r="A209" s="29" t="n"/>
      <c r="B209" s="29" t="n"/>
      <c r="C209" s="29" t="n"/>
      <c r="D209" s="34" t="n"/>
      <c r="E209" s="29" t="n"/>
      <c r="F209" s="6" t="n"/>
      <c r="G209" s="6" t="n"/>
      <c r="H209" s="31" t="n"/>
      <c r="I209" s="6" t="n"/>
      <c r="J209" s="6" t="n"/>
      <c r="K209" s="17">
        <f>IF($A209="","",$A209&amp;"|"&amp;COUNTIF($A$2:$A209,$A209))</f>
        <v/>
      </c>
    </row>
    <row r="210">
      <c r="A210" s="29" t="n"/>
      <c r="B210" s="29" t="n"/>
      <c r="C210" s="29" t="n"/>
      <c r="D210" s="34" t="n"/>
      <c r="E210" s="29" t="n"/>
      <c r="F210" s="6" t="n"/>
      <c r="G210" s="6" t="n"/>
      <c r="H210" s="31" t="n"/>
      <c r="I210" s="6" t="n"/>
      <c r="J210" s="6" t="n"/>
      <c r="K210" s="17">
        <f>IF($A210="","",$A210&amp;"|"&amp;COUNTIF($A$2:$A210,$A210))</f>
        <v/>
      </c>
    </row>
    <row r="211">
      <c r="A211" s="29" t="n"/>
      <c r="B211" s="29" t="n"/>
      <c r="C211" s="29" t="n"/>
      <c r="D211" s="34" t="n"/>
      <c r="E211" s="29" t="n"/>
      <c r="F211" s="6" t="n"/>
      <c r="G211" s="6" t="n"/>
      <c r="H211" s="31" t="n"/>
      <c r="I211" s="6" t="n"/>
      <c r="J211" s="6" t="n"/>
      <c r="K211" s="17">
        <f>IF($A211="","",$A211&amp;"|"&amp;COUNTIF($A$2:$A211,$A211))</f>
        <v/>
      </c>
    </row>
    <row r="212">
      <c r="A212" s="29" t="n"/>
      <c r="B212" s="29" t="n"/>
      <c r="C212" s="29" t="n"/>
      <c r="D212" s="34" t="n"/>
      <c r="E212" s="29" t="n"/>
      <c r="F212" s="6" t="n"/>
      <c r="G212" s="6" t="n"/>
      <c r="H212" s="31" t="n"/>
      <c r="I212" s="6" t="n"/>
      <c r="J212" s="6" t="n"/>
      <c r="K212" s="17">
        <f>IF($A212="","",$A212&amp;"|"&amp;COUNTIF($A$2:$A212,$A212))</f>
        <v/>
      </c>
    </row>
    <row r="213">
      <c r="A213" s="29" t="n"/>
      <c r="B213" s="29" t="n"/>
      <c r="C213" s="29" t="n"/>
      <c r="D213" s="34" t="n"/>
      <c r="E213" s="29" t="n"/>
      <c r="F213" s="6" t="n"/>
      <c r="G213" s="6" t="n"/>
      <c r="H213" s="31" t="n"/>
      <c r="I213" s="6" t="n"/>
      <c r="J213" s="6" t="n"/>
      <c r="K213" s="17">
        <f>IF($A213="","",$A213&amp;"|"&amp;COUNTIF($A$2:$A213,$A213))</f>
        <v/>
      </c>
    </row>
    <row r="214">
      <c r="A214" s="29" t="n"/>
      <c r="B214" s="29" t="n"/>
      <c r="C214" s="29" t="n"/>
      <c r="D214" s="34" t="n"/>
      <c r="E214" s="29" t="n"/>
      <c r="F214" s="6" t="n"/>
      <c r="G214" s="6" t="n"/>
      <c r="H214" s="31" t="n"/>
      <c r="I214" s="6" t="n"/>
      <c r="J214" s="6" t="n"/>
      <c r="K214" s="17">
        <f>IF($A214="","",$A214&amp;"|"&amp;COUNTIF($A$2:$A214,$A214))</f>
        <v/>
      </c>
    </row>
    <row r="215">
      <c r="A215" s="29" t="n"/>
      <c r="B215" s="29" t="n"/>
      <c r="C215" s="29" t="n"/>
      <c r="D215" s="34" t="n"/>
      <c r="E215" s="29" t="n"/>
      <c r="F215" s="6" t="n"/>
      <c r="G215" s="6" t="n"/>
      <c r="H215" s="31" t="n"/>
      <c r="I215" s="6" t="n"/>
      <c r="J215" s="6" t="n"/>
      <c r="K215" s="17">
        <f>IF($A215="","",$A215&amp;"|"&amp;COUNTIF($A$2:$A215,$A215))</f>
        <v/>
      </c>
    </row>
    <row r="216">
      <c r="A216" s="29" t="n"/>
      <c r="B216" s="29" t="n"/>
      <c r="C216" s="29" t="n"/>
      <c r="D216" s="34" t="n"/>
      <c r="E216" s="29" t="n"/>
      <c r="F216" s="6" t="n"/>
      <c r="G216" s="6" t="n"/>
      <c r="H216" s="31" t="n"/>
      <c r="I216" s="6" t="n"/>
      <c r="J216" s="6" t="n"/>
      <c r="K216" s="17">
        <f>IF($A216="","",$A216&amp;"|"&amp;COUNTIF($A$2:$A216,$A216))</f>
        <v/>
      </c>
    </row>
    <row r="217">
      <c r="A217" s="29" t="n"/>
      <c r="B217" s="29" t="n"/>
      <c r="C217" s="29" t="n"/>
      <c r="D217" s="34" t="n"/>
      <c r="E217" s="29" t="n"/>
      <c r="F217" s="6" t="n"/>
      <c r="G217" s="6" t="n"/>
      <c r="H217" s="31" t="n"/>
      <c r="I217" s="6" t="n"/>
      <c r="J217" s="6" t="n"/>
      <c r="K217" s="17">
        <f>IF($A217="","",$A217&amp;"|"&amp;COUNTIF($A$2:$A217,$A217))</f>
        <v/>
      </c>
    </row>
    <row r="218">
      <c r="A218" s="29" t="n"/>
      <c r="B218" s="29" t="n"/>
      <c r="C218" s="29" t="n"/>
      <c r="D218" s="34" t="n"/>
      <c r="E218" s="29" t="n"/>
      <c r="F218" s="6" t="n"/>
      <c r="G218" s="6" t="n"/>
      <c r="H218" s="31" t="n"/>
      <c r="I218" s="6" t="n"/>
      <c r="J218" s="6" t="n"/>
      <c r="K218" s="17">
        <f>IF($A218="","",$A218&amp;"|"&amp;COUNTIF($A$2:$A218,$A218))</f>
        <v/>
      </c>
    </row>
    <row r="219">
      <c r="A219" s="29" t="n"/>
      <c r="B219" s="29" t="n"/>
      <c r="C219" s="29" t="n"/>
      <c r="D219" s="34" t="n"/>
      <c r="E219" s="29" t="n"/>
      <c r="F219" s="6" t="n"/>
      <c r="G219" s="6" t="n"/>
      <c r="H219" s="31" t="n"/>
      <c r="I219" s="6" t="n"/>
      <c r="J219" s="6" t="n"/>
      <c r="K219" s="17">
        <f>IF($A219="","",$A219&amp;"|"&amp;COUNTIF($A$2:$A219,$A219))</f>
        <v/>
      </c>
    </row>
    <row r="220">
      <c r="A220" s="29" t="n"/>
      <c r="B220" s="29" t="n"/>
      <c r="C220" s="29" t="n"/>
      <c r="D220" s="34" t="n"/>
      <c r="E220" s="29" t="n"/>
      <c r="F220" s="6" t="n"/>
      <c r="G220" s="6" t="n"/>
      <c r="H220" s="31" t="n"/>
      <c r="I220" s="6" t="n"/>
      <c r="J220" s="6" t="n"/>
      <c r="K220" s="17">
        <f>IF($A220="","",$A220&amp;"|"&amp;COUNTIF($A$2:$A220,$A220))</f>
        <v/>
      </c>
    </row>
    <row r="221">
      <c r="A221" s="29" t="n"/>
      <c r="B221" s="29" t="n"/>
      <c r="C221" s="29" t="n"/>
      <c r="D221" s="34" t="n"/>
      <c r="E221" s="29" t="n"/>
      <c r="F221" s="6" t="n"/>
      <c r="G221" s="6" t="n"/>
      <c r="H221" s="31" t="n"/>
      <c r="I221" s="6" t="n"/>
      <c r="J221" s="6" t="n"/>
      <c r="K221" s="17">
        <f>IF($A221="","",$A221&amp;"|"&amp;COUNTIF($A$2:$A221,$A221))</f>
        <v/>
      </c>
    </row>
    <row r="222">
      <c r="A222" s="29" t="n"/>
      <c r="B222" s="29" t="n"/>
      <c r="C222" s="29" t="n"/>
      <c r="D222" s="34" t="n"/>
      <c r="E222" s="29" t="n"/>
      <c r="F222" s="6" t="n"/>
      <c r="G222" s="6" t="n"/>
      <c r="H222" s="31" t="n"/>
      <c r="I222" s="6" t="n"/>
      <c r="J222" s="6" t="n"/>
      <c r="K222" s="17">
        <f>IF($A222="","",$A222&amp;"|"&amp;COUNTIF($A$2:$A222,$A222))</f>
        <v/>
      </c>
    </row>
    <row r="223">
      <c r="A223" s="29" t="n"/>
      <c r="B223" s="29" t="n"/>
      <c r="C223" s="29" t="n"/>
      <c r="D223" s="34" t="n"/>
      <c r="E223" s="29" t="n"/>
      <c r="F223" s="6" t="n"/>
      <c r="G223" s="6" t="n"/>
      <c r="H223" s="31" t="n"/>
      <c r="I223" s="6" t="n"/>
      <c r="J223" s="6" t="n"/>
      <c r="K223" s="17">
        <f>IF($A223="","",$A223&amp;"|"&amp;COUNTIF($A$2:$A223,$A223))</f>
        <v/>
      </c>
    </row>
    <row r="224">
      <c r="A224" s="29" t="n"/>
      <c r="B224" s="29" t="n"/>
      <c r="C224" s="29" t="n"/>
      <c r="D224" s="34" t="n"/>
      <c r="E224" s="29" t="n"/>
      <c r="F224" s="6" t="n"/>
      <c r="G224" s="6" t="n"/>
      <c r="H224" s="31" t="n"/>
      <c r="I224" s="6" t="n"/>
      <c r="J224" s="6" t="n"/>
      <c r="K224" s="17">
        <f>IF($A224="","",$A224&amp;"|"&amp;COUNTIF($A$2:$A224,$A224))</f>
        <v/>
      </c>
    </row>
    <row r="225">
      <c r="A225" s="29" t="n"/>
      <c r="B225" s="29" t="n"/>
      <c r="C225" s="29" t="n"/>
      <c r="D225" s="34" t="n"/>
      <c r="E225" s="29" t="n"/>
      <c r="F225" s="6" t="n"/>
      <c r="G225" s="6" t="n"/>
      <c r="H225" s="31" t="n"/>
      <c r="I225" s="6" t="n"/>
      <c r="J225" s="6" t="n"/>
      <c r="K225" s="17">
        <f>IF($A225="","",$A225&amp;"|"&amp;COUNTIF($A$2:$A225,$A225))</f>
        <v/>
      </c>
    </row>
    <row r="226">
      <c r="A226" s="29" t="n"/>
      <c r="B226" s="29" t="n"/>
      <c r="C226" s="29" t="n"/>
      <c r="D226" s="34" t="n"/>
      <c r="E226" s="29" t="n"/>
      <c r="F226" s="6" t="n"/>
      <c r="G226" s="6" t="n"/>
      <c r="H226" s="31" t="n"/>
      <c r="I226" s="6" t="n"/>
      <c r="J226" s="6" t="n"/>
      <c r="K226" s="17">
        <f>IF($A226="","",$A226&amp;"|"&amp;COUNTIF($A$2:$A226,$A226))</f>
        <v/>
      </c>
    </row>
    <row r="227">
      <c r="A227" s="29" t="n"/>
      <c r="B227" s="29" t="n"/>
      <c r="C227" s="29" t="n"/>
      <c r="D227" s="34" t="n"/>
      <c r="E227" s="29" t="n"/>
      <c r="F227" s="6" t="n"/>
      <c r="G227" s="6" t="n"/>
      <c r="H227" s="31" t="n"/>
      <c r="I227" s="6" t="n"/>
      <c r="J227" s="6" t="n"/>
      <c r="K227" s="17">
        <f>IF($A227="","",$A227&amp;"|"&amp;COUNTIF($A$2:$A227,$A227))</f>
        <v/>
      </c>
    </row>
    <row r="228">
      <c r="A228" s="29" t="n"/>
      <c r="B228" s="29" t="n"/>
      <c r="C228" s="29" t="n"/>
      <c r="D228" s="34" t="n"/>
      <c r="E228" s="29" t="n"/>
      <c r="F228" s="6" t="n"/>
      <c r="G228" s="6" t="n"/>
      <c r="H228" s="31" t="n"/>
      <c r="I228" s="6" t="n"/>
      <c r="J228" s="6" t="n"/>
      <c r="K228" s="17">
        <f>IF($A228="","",$A228&amp;"|"&amp;COUNTIF($A$2:$A228,$A228))</f>
        <v/>
      </c>
    </row>
    <row r="229">
      <c r="A229" s="29" t="n"/>
      <c r="B229" s="29" t="n"/>
      <c r="C229" s="29" t="n"/>
      <c r="D229" s="34" t="n"/>
      <c r="E229" s="29" t="n"/>
      <c r="F229" s="6" t="n"/>
      <c r="G229" s="6" t="n"/>
      <c r="H229" s="31" t="n"/>
      <c r="I229" s="6" t="n"/>
      <c r="J229" s="6" t="n"/>
      <c r="K229" s="17">
        <f>IF($A229="","",$A229&amp;"|"&amp;COUNTIF($A$2:$A229,$A229))</f>
        <v/>
      </c>
    </row>
    <row r="230">
      <c r="A230" s="29" t="n"/>
      <c r="B230" s="29" t="n"/>
      <c r="C230" s="29" t="n"/>
      <c r="D230" s="34" t="n"/>
      <c r="E230" s="29" t="n"/>
      <c r="F230" s="6" t="n"/>
      <c r="G230" s="6" t="n"/>
      <c r="H230" s="31" t="n"/>
      <c r="I230" s="6" t="n"/>
      <c r="J230" s="6" t="n"/>
      <c r="K230" s="17">
        <f>IF($A230="","",$A230&amp;"|"&amp;COUNTIF($A$2:$A230,$A230))</f>
        <v/>
      </c>
    </row>
    <row r="231">
      <c r="A231" s="29" t="n"/>
      <c r="B231" s="29" t="n"/>
      <c r="C231" s="29" t="n"/>
      <c r="D231" s="34" t="n"/>
      <c r="E231" s="29" t="n"/>
      <c r="F231" s="6" t="n"/>
      <c r="G231" s="6" t="n"/>
      <c r="H231" s="31" t="n"/>
      <c r="I231" s="6" t="n"/>
      <c r="J231" s="6" t="n"/>
      <c r="K231" s="17">
        <f>IF($A231="","",$A231&amp;"|"&amp;COUNTIF($A$2:$A231,$A231))</f>
        <v/>
      </c>
    </row>
    <row r="232">
      <c r="A232" s="29" t="n"/>
      <c r="B232" s="29" t="n"/>
      <c r="C232" s="29" t="n"/>
      <c r="D232" s="34" t="n"/>
      <c r="E232" s="29" t="n"/>
      <c r="F232" s="6" t="n"/>
      <c r="G232" s="6" t="n"/>
      <c r="H232" s="31" t="n"/>
      <c r="I232" s="6" t="n"/>
      <c r="J232" s="6" t="n"/>
      <c r="K232" s="17">
        <f>IF($A232="","",$A232&amp;"|"&amp;COUNTIF($A$2:$A232,$A232))</f>
        <v/>
      </c>
    </row>
    <row r="233">
      <c r="A233" s="29" t="n"/>
      <c r="B233" s="29" t="n"/>
      <c r="C233" s="29" t="n"/>
      <c r="D233" s="34" t="n"/>
      <c r="E233" s="29" t="n"/>
      <c r="F233" s="6" t="n"/>
      <c r="G233" s="6" t="n"/>
      <c r="H233" s="31" t="n"/>
      <c r="I233" s="6" t="n"/>
      <c r="J233" s="6" t="n"/>
      <c r="K233" s="17">
        <f>IF($A233="","",$A233&amp;"|"&amp;COUNTIF($A$2:$A233,$A233))</f>
        <v/>
      </c>
    </row>
    <row r="234">
      <c r="A234" s="29" t="n"/>
      <c r="B234" s="29" t="n"/>
      <c r="C234" s="29" t="n"/>
      <c r="D234" s="34" t="n"/>
      <c r="E234" s="29" t="n"/>
      <c r="F234" s="6" t="n"/>
      <c r="G234" s="6" t="n"/>
      <c r="H234" s="31" t="n"/>
      <c r="I234" s="6" t="n"/>
      <c r="J234" s="6" t="n"/>
      <c r="K234" s="17">
        <f>IF($A234="","",$A234&amp;"|"&amp;COUNTIF($A$2:$A234,$A234))</f>
        <v/>
      </c>
    </row>
    <row r="235">
      <c r="A235" s="29" t="n"/>
      <c r="B235" s="29" t="n"/>
      <c r="C235" s="29" t="n"/>
      <c r="D235" s="34" t="n"/>
      <c r="E235" s="29" t="n"/>
      <c r="F235" s="6" t="n"/>
      <c r="G235" s="6" t="n"/>
      <c r="H235" s="31" t="n"/>
      <c r="I235" s="6" t="n"/>
      <c r="J235" s="6" t="n"/>
      <c r="K235" s="17">
        <f>IF($A235="","",$A235&amp;"|"&amp;COUNTIF($A$2:$A235,$A235))</f>
        <v/>
      </c>
    </row>
    <row r="236">
      <c r="A236" s="29" t="n"/>
      <c r="B236" s="29" t="n"/>
      <c r="C236" s="29" t="n"/>
      <c r="D236" s="34" t="n"/>
      <c r="E236" s="29" t="n"/>
      <c r="F236" s="6" t="n"/>
      <c r="G236" s="6" t="n"/>
      <c r="H236" s="31" t="n"/>
      <c r="I236" s="6" t="n"/>
      <c r="J236" s="6" t="n"/>
      <c r="K236" s="17">
        <f>IF($A236="","",$A236&amp;"|"&amp;COUNTIF($A$2:$A236,$A236))</f>
        <v/>
      </c>
    </row>
    <row r="237">
      <c r="A237" s="29" t="n"/>
      <c r="B237" s="29" t="n"/>
      <c r="C237" s="29" t="n"/>
      <c r="D237" s="34" t="n"/>
      <c r="E237" s="29" t="n"/>
      <c r="F237" s="6" t="n"/>
      <c r="G237" s="6" t="n"/>
      <c r="H237" s="31" t="n"/>
      <c r="I237" s="6" t="n"/>
      <c r="J237" s="6" t="n"/>
      <c r="K237" s="17">
        <f>IF($A237="","",$A237&amp;"|"&amp;COUNTIF($A$2:$A237,$A237))</f>
        <v/>
      </c>
    </row>
    <row r="238">
      <c r="A238" s="29" t="n"/>
      <c r="B238" s="29" t="n"/>
      <c r="C238" s="29" t="n"/>
      <c r="D238" s="34" t="n"/>
      <c r="E238" s="29" t="n"/>
      <c r="F238" s="6" t="n"/>
      <c r="G238" s="6" t="n"/>
      <c r="H238" s="31" t="n"/>
      <c r="I238" s="6" t="n"/>
      <c r="J238" s="6" t="n"/>
      <c r="K238" s="17">
        <f>IF($A238="","",$A238&amp;"|"&amp;COUNTIF($A$2:$A238,$A238))</f>
        <v/>
      </c>
    </row>
    <row r="239">
      <c r="A239" s="29" t="n"/>
      <c r="B239" s="29" t="n"/>
      <c r="C239" s="29" t="n"/>
      <c r="D239" s="34" t="n"/>
      <c r="E239" s="29" t="n"/>
      <c r="F239" s="6" t="n"/>
      <c r="G239" s="6" t="n"/>
      <c r="H239" s="31" t="n"/>
      <c r="I239" s="6" t="n"/>
      <c r="J239" s="6" t="n"/>
      <c r="K239" s="17">
        <f>IF($A239="","",$A239&amp;"|"&amp;COUNTIF($A$2:$A239,$A239))</f>
        <v/>
      </c>
    </row>
    <row r="240">
      <c r="A240" s="29" t="n"/>
      <c r="B240" s="29" t="n"/>
      <c r="C240" s="29" t="n"/>
      <c r="D240" s="34" t="n"/>
      <c r="E240" s="29" t="n"/>
      <c r="F240" s="6" t="n"/>
      <c r="G240" s="6" t="n"/>
      <c r="H240" s="31" t="n"/>
      <c r="I240" s="6" t="n"/>
      <c r="J240" s="6" t="n"/>
      <c r="K240" s="17">
        <f>IF($A240="","",$A240&amp;"|"&amp;COUNTIF($A$2:$A240,$A240))</f>
        <v/>
      </c>
    </row>
    <row r="241">
      <c r="A241" s="29" t="n"/>
      <c r="B241" s="29" t="n"/>
      <c r="C241" s="29" t="n"/>
      <c r="D241" s="34" t="n"/>
      <c r="E241" s="29" t="n"/>
      <c r="F241" s="6" t="n"/>
      <c r="G241" s="6" t="n"/>
      <c r="H241" s="31" t="n"/>
      <c r="I241" s="6" t="n"/>
      <c r="J241" s="6" t="n"/>
      <c r="K241" s="17">
        <f>IF($A241="","",$A241&amp;"|"&amp;COUNTIF($A$2:$A241,$A241))</f>
        <v/>
      </c>
    </row>
    <row r="242">
      <c r="A242" s="29" t="n"/>
      <c r="B242" s="29" t="n"/>
      <c r="C242" s="29" t="n"/>
      <c r="D242" s="34" t="n"/>
      <c r="E242" s="29" t="n"/>
      <c r="F242" s="6" t="n"/>
      <c r="G242" s="6" t="n"/>
      <c r="H242" s="31" t="n"/>
      <c r="I242" s="6" t="n"/>
      <c r="J242" s="6" t="n"/>
      <c r="K242" s="17">
        <f>IF($A242="","",$A242&amp;"|"&amp;COUNTIF($A$2:$A242,$A242))</f>
        <v/>
      </c>
    </row>
    <row r="243">
      <c r="A243" s="29" t="n"/>
      <c r="B243" s="29" t="n"/>
      <c r="C243" s="29" t="n"/>
      <c r="D243" s="34" t="n"/>
      <c r="E243" s="29" t="n"/>
      <c r="F243" s="6" t="n"/>
      <c r="G243" s="6" t="n"/>
      <c r="H243" s="31" t="n"/>
      <c r="I243" s="6" t="n"/>
      <c r="J243" s="6" t="n"/>
      <c r="K243" s="17">
        <f>IF($A243="","",$A243&amp;"|"&amp;COUNTIF($A$2:$A243,$A243))</f>
        <v/>
      </c>
    </row>
    <row r="244">
      <c r="A244" s="29" t="n"/>
      <c r="B244" s="29" t="n"/>
      <c r="C244" s="29" t="n"/>
      <c r="D244" s="34" t="n"/>
      <c r="E244" s="29" t="n"/>
      <c r="F244" s="6" t="n"/>
      <c r="G244" s="6" t="n"/>
      <c r="H244" s="31" t="n"/>
      <c r="I244" s="6" t="n"/>
      <c r="J244" s="6" t="n"/>
      <c r="K244" s="17">
        <f>IF($A244="","",$A244&amp;"|"&amp;COUNTIF($A$2:$A244,$A244))</f>
        <v/>
      </c>
    </row>
    <row r="245">
      <c r="A245" s="29" t="n"/>
      <c r="B245" s="29" t="n"/>
      <c r="C245" s="29" t="n"/>
      <c r="D245" s="34" t="n"/>
      <c r="E245" s="29" t="n"/>
      <c r="F245" s="6" t="n"/>
      <c r="G245" s="6" t="n"/>
      <c r="H245" s="31" t="n"/>
      <c r="I245" s="6" t="n"/>
      <c r="J245" s="6" t="n"/>
      <c r="K245" s="17">
        <f>IF($A245="","",$A245&amp;"|"&amp;COUNTIF($A$2:$A245,$A245))</f>
        <v/>
      </c>
    </row>
    <row r="246">
      <c r="A246" s="29" t="n"/>
      <c r="B246" s="29" t="n"/>
      <c r="C246" s="29" t="n"/>
      <c r="D246" s="34" t="n"/>
      <c r="E246" s="29" t="n"/>
      <c r="F246" s="6" t="n"/>
      <c r="G246" s="6" t="n"/>
      <c r="H246" s="31" t="n"/>
      <c r="I246" s="6" t="n"/>
      <c r="J246" s="6" t="n"/>
      <c r="K246" s="17">
        <f>IF($A246="","",$A246&amp;"|"&amp;COUNTIF($A$2:$A246,$A246))</f>
        <v/>
      </c>
    </row>
    <row r="247">
      <c r="A247" s="29" t="n"/>
      <c r="B247" s="29" t="n"/>
      <c r="C247" s="29" t="n"/>
      <c r="D247" s="34" t="n"/>
      <c r="E247" s="29" t="n"/>
      <c r="F247" s="6" t="n"/>
      <c r="G247" s="6" t="n"/>
      <c r="H247" s="31" t="n"/>
      <c r="I247" s="6" t="n"/>
      <c r="J247" s="6" t="n"/>
      <c r="K247" s="17">
        <f>IF($A247="","",$A247&amp;"|"&amp;COUNTIF($A$2:$A247,$A247))</f>
        <v/>
      </c>
    </row>
    <row r="248">
      <c r="A248" s="29" t="n"/>
      <c r="B248" s="29" t="n"/>
      <c r="C248" s="29" t="n"/>
      <c r="D248" s="34" t="n"/>
      <c r="E248" s="29" t="n"/>
      <c r="F248" s="6" t="n"/>
      <c r="G248" s="6" t="n"/>
      <c r="H248" s="31" t="n"/>
      <c r="I248" s="6" t="n"/>
      <c r="J248" s="6" t="n"/>
      <c r="K248" s="17">
        <f>IF($A248="","",$A248&amp;"|"&amp;COUNTIF($A$2:$A248,$A248))</f>
        <v/>
      </c>
    </row>
    <row r="249">
      <c r="A249" s="29" t="n"/>
      <c r="B249" s="29" t="n"/>
      <c r="C249" s="29" t="n"/>
      <c r="D249" s="34" t="n"/>
      <c r="E249" s="29" t="n"/>
      <c r="F249" s="6" t="n"/>
      <c r="G249" s="6" t="n"/>
      <c r="H249" s="31" t="n"/>
      <c r="I249" s="6" t="n"/>
      <c r="J249" s="6" t="n"/>
      <c r="K249" s="17">
        <f>IF($A249="","",$A249&amp;"|"&amp;COUNTIF($A$2:$A249,$A249))</f>
        <v/>
      </c>
    </row>
    <row r="250">
      <c r="A250" s="29" t="n"/>
      <c r="B250" s="29" t="n"/>
      <c r="C250" s="29" t="n"/>
      <c r="D250" s="34" t="n"/>
      <c r="E250" s="29" t="n"/>
      <c r="F250" s="6" t="n"/>
      <c r="G250" s="6" t="n"/>
      <c r="H250" s="31" t="n"/>
      <c r="I250" s="6" t="n"/>
      <c r="J250" s="6" t="n"/>
      <c r="K250" s="17">
        <f>IF($A250="","",$A250&amp;"|"&amp;COUNTIF($A$2:$A250,$A250))</f>
        <v/>
      </c>
    </row>
    <row r="251">
      <c r="A251" s="29" t="n"/>
      <c r="B251" s="29" t="n"/>
      <c r="C251" s="29" t="n"/>
      <c r="D251" s="34" t="n"/>
      <c r="E251" s="29" t="n"/>
      <c r="F251" s="6" t="n"/>
      <c r="G251" s="6" t="n"/>
      <c r="H251" s="31" t="n"/>
      <c r="I251" s="6" t="n"/>
      <c r="J251" s="6" t="n"/>
      <c r="K251" s="17">
        <f>IF($A251="","",$A251&amp;"|"&amp;COUNTIF($A$2:$A251,$A251))</f>
        <v/>
      </c>
    </row>
    <row r="252">
      <c r="A252" s="29" t="n"/>
      <c r="B252" s="29" t="n"/>
      <c r="C252" s="29" t="n"/>
      <c r="D252" s="34" t="n"/>
      <c r="E252" s="29" t="n"/>
      <c r="F252" s="6" t="n"/>
      <c r="G252" s="6" t="n"/>
      <c r="H252" s="31" t="n"/>
      <c r="I252" s="6" t="n"/>
      <c r="J252" s="6" t="n"/>
      <c r="K252" s="17">
        <f>IF($A252="","",$A252&amp;"|"&amp;COUNTIF($A$2:$A252,$A252))</f>
        <v/>
      </c>
    </row>
    <row r="253">
      <c r="A253" s="29" t="n"/>
      <c r="B253" s="29" t="n"/>
      <c r="C253" s="29" t="n"/>
      <c r="D253" s="34" t="n"/>
      <c r="E253" s="29" t="n"/>
      <c r="F253" s="6" t="n"/>
      <c r="G253" s="6" t="n"/>
      <c r="H253" s="31" t="n"/>
      <c r="I253" s="6" t="n"/>
      <c r="J253" s="6" t="n"/>
      <c r="K253" s="17">
        <f>IF($A253="","",$A253&amp;"|"&amp;COUNTIF($A$2:$A253,$A253))</f>
        <v/>
      </c>
    </row>
    <row r="254">
      <c r="A254" s="29" t="n"/>
      <c r="B254" s="29" t="n"/>
      <c r="C254" s="29" t="n"/>
      <c r="D254" s="34" t="n"/>
      <c r="E254" s="29" t="n"/>
      <c r="F254" s="6" t="n"/>
      <c r="G254" s="6" t="n"/>
      <c r="H254" s="31" t="n"/>
      <c r="I254" s="6" t="n"/>
      <c r="J254" s="6" t="n"/>
      <c r="K254" s="17">
        <f>IF($A254="","",$A254&amp;"|"&amp;COUNTIF($A$2:$A254,$A254))</f>
        <v/>
      </c>
    </row>
    <row r="255">
      <c r="A255" s="29" t="n"/>
      <c r="B255" s="29" t="n"/>
      <c r="C255" s="29" t="n"/>
      <c r="D255" s="34" t="n"/>
      <c r="E255" s="29" t="n"/>
      <c r="F255" s="6" t="n"/>
      <c r="G255" s="6" t="n"/>
      <c r="H255" s="31" t="n"/>
      <c r="I255" s="6" t="n"/>
      <c r="J255" s="6" t="n"/>
      <c r="K255" s="17">
        <f>IF($A255="","",$A255&amp;"|"&amp;COUNTIF($A$2:$A255,$A255))</f>
        <v/>
      </c>
    </row>
    <row r="256">
      <c r="A256" s="29" t="n"/>
      <c r="B256" s="29" t="n"/>
      <c r="C256" s="29" t="n"/>
      <c r="D256" s="34" t="n"/>
      <c r="E256" s="29" t="n"/>
      <c r="F256" s="6" t="n"/>
      <c r="G256" s="6" t="n"/>
      <c r="H256" s="31" t="n"/>
      <c r="I256" s="6" t="n"/>
      <c r="J256" s="6" t="n"/>
      <c r="K256" s="17">
        <f>IF($A256="","",$A256&amp;"|"&amp;COUNTIF($A$2:$A256,$A256))</f>
        <v/>
      </c>
    </row>
    <row r="257">
      <c r="A257" s="29" t="n"/>
      <c r="B257" s="29" t="n"/>
      <c r="C257" s="29" t="n"/>
      <c r="D257" s="34" t="n"/>
      <c r="E257" s="29" t="n"/>
      <c r="F257" s="6" t="n"/>
      <c r="G257" s="6" t="n"/>
      <c r="H257" s="31" t="n"/>
      <c r="I257" s="6" t="n"/>
      <c r="J257" s="6" t="n"/>
      <c r="K257" s="17">
        <f>IF($A257="","",$A257&amp;"|"&amp;COUNTIF($A$2:$A257,$A257))</f>
        <v/>
      </c>
    </row>
    <row r="258">
      <c r="A258" s="29" t="n"/>
      <c r="B258" s="29" t="n"/>
      <c r="C258" s="29" t="n"/>
      <c r="D258" s="34" t="n"/>
      <c r="E258" s="29" t="n"/>
      <c r="F258" s="6" t="n"/>
      <c r="G258" s="6" t="n"/>
      <c r="H258" s="31" t="n"/>
      <c r="I258" s="6" t="n"/>
      <c r="J258" s="6" t="n"/>
      <c r="K258" s="17">
        <f>IF($A258="","",$A258&amp;"|"&amp;COUNTIF($A$2:$A258,$A258))</f>
        <v/>
      </c>
    </row>
    <row r="259">
      <c r="A259" s="29" t="n"/>
      <c r="B259" s="29" t="n"/>
      <c r="C259" s="29" t="n"/>
      <c r="D259" s="34" t="n"/>
      <c r="E259" s="29" t="n"/>
      <c r="F259" s="6" t="n"/>
      <c r="G259" s="6" t="n"/>
      <c r="H259" s="31" t="n"/>
      <c r="I259" s="6" t="n"/>
      <c r="J259" s="6" t="n"/>
      <c r="K259" s="17">
        <f>IF($A259="","",$A259&amp;"|"&amp;COUNTIF($A$2:$A259,$A259))</f>
        <v/>
      </c>
    </row>
    <row r="260">
      <c r="A260" s="29" t="n"/>
      <c r="B260" s="29" t="n"/>
      <c r="C260" s="29" t="n"/>
      <c r="D260" s="34" t="n"/>
      <c r="E260" s="29" t="n"/>
      <c r="F260" s="6" t="n"/>
      <c r="G260" s="6" t="n"/>
      <c r="H260" s="31" t="n"/>
      <c r="I260" s="6" t="n"/>
      <c r="J260" s="6" t="n"/>
      <c r="K260" s="17">
        <f>IF($A260="","",$A260&amp;"|"&amp;COUNTIF($A$2:$A260,$A260))</f>
        <v/>
      </c>
    </row>
    <row r="261">
      <c r="A261" s="29" t="n"/>
      <c r="B261" s="29" t="n"/>
      <c r="C261" s="29" t="n"/>
      <c r="D261" s="34" t="n"/>
      <c r="E261" s="29" t="n"/>
      <c r="F261" s="6" t="n"/>
      <c r="G261" s="6" t="n"/>
      <c r="H261" s="31" t="n"/>
      <c r="I261" s="6" t="n"/>
      <c r="J261" s="6" t="n"/>
      <c r="K261" s="17">
        <f>IF($A261="","",$A261&amp;"|"&amp;COUNTIF($A$2:$A261,$A261))</f>
        <v/>
      </c>
    </row>
    <row r="262">
      <c r="A262" s="29" t="n"/>
      <c r="B262" s="29" t="n"/>
      <c r="C262" s="29" t="n"/>
      <c r="D262" s="34" t="n"/>
      <c r="E262" s="29" t="n"/>
      <c r="F262" s="6" t="n"/>
      <c r="G262" s="6" t="n"/>
      <c r="H262" s="31" t="n"/>
      <c r="I262" s="6" t="n"/>
      <c r="J262" s="6" t="n"/>
      <c r="K262" s="17">
        <f>IF($A262="","",$A262&amp;"|"&amp;COUNTIF($A$2:$A262,$A262))</f>
        <v/>
      </c>
    </row>
    <row r="263">
      <c r="A263" s="29" t="n"/>
      <c r="B263" s="29" t="n"/>
      <c r="C263" s="29" t="n"/>
      <c r="D263" s="34" t="n"/>
      <c r="E263" s="29" t="n"/>
      <c r="F263" s="6" t="n"/>
      <c r="G263" s="6" t="n"/>
      <c r="H263" s="31" t="n"/>
      <c r="I263" s="6" t="n"/>
      <c r="J263" s="6" t="n"/>
      <c r="K263" s="17">
        <f>IF($A263="","",$A263&amp;"|"&amp;COUNTIF($A$2:$A263,$A263))</f>
        <v/>
      </c>
    </row>
    <row r="264">
      <c r="A264" s="29" t="n"/>
      <c r="B264" s="29" t="n"/>
      <c r="C264" s="29" t="n"/>
      <c r="D264" s="34" t="n"/>
      <c r="E264" s="29" t="n"/>
      <c r="F264" s="6" t="n"/>
      <c r="G264" s="6" t="n"/>
      <c r="H264" s="31" t="n"/>
      <c r="I264" s="6" t="n"/>
      <c r="J264" s="6" t="n"/>
      <c r="K264" s="17">
        <f>IF($A264="","",$A264&amp;"|"&amp;COUNTIF($A$2:$A264,$A264))</f>
        <v/>
      </c>
    </row>
    <row r="265">
      <c r="A265" s="29" t="n"/>
      <c r="B265" s="29" t="n"/>
      <c r="C265" s="29" t="n"/>
      <c r="D265" s="34" t="n"/>
      <c r="E265" s="29" t="n"/>
      <c r="F265" s="6" t="n"/>
      <c r="G265" s="6" t="n"/>
      <c r="H265" s="31" t="n"/>
      <c r="I265" s="6" t="n"/>
      <c r="J265" s="6" t="n"/>
      <c r="K265" s="17">
        <f>IF($A265="","",$A265&amp;"|"&amp;COUNTIF($A$2:$A265,$A265))</f>
        <v/>
      </c>
    </row>
    <row r="266">
      <c r="A266" s="29" t="n"/>
      <c r="B266" s="29" t="n"/>
      <c r="C266" s="29" t="n"/>
      <c r="D266" s="34" t="n"/>
      <c r="E266" s="29" t="n"/>
      <c r="F266" s="6" t="n"/>
      <c r="G266" s="6" t="n"/>
      <c r="H266" s="31" t="n"/>
      <c r="I266" s="6" t="n"/>
      <c r="J266" s="6" t="n"/>
      <c r="K266" s="17">
        <f>IF($A266="","",$A266&amp;"|"&amp;COUNTIF($A$2:$A266,$A266))</f>
        <v/>
      </c>
    </row>
    <row r="267">
      <c r="A267" s="29" t="n"/>
      <c r="B267" s="29" t="n"/>
      <c r="C267" s="29" t="n"/>
      <c r="D267" s="34" t="n"/>
      <c r="E267" s="29" t="n"/>
      <c r="F267" s="6" t="n"/>
      <c r="G267" s="6" t="n"/>
      <c r="H267" s="31" t="n"/>
      <c r="I267" s="6" t="n"/>
      <c r="J267" s="6" t="n"/>
      <c r="K267" s="17">
        <f>IF($A267="","",$A267&amp;"|"&amp;COUNTIF($A$2:$A267,$A267))</f>
        <v/>
      </c>
    </row>
    <row r="268">
      <c r="A268" s="29" t="n"/>
      <c r="B268" s="29" t="n"/>
      <c r="C268" s="29" t="n"/>
      <c r="D268" s="34" t="n"/>
      <c r="E268" s="29" t="n"/>
      <c r="F268" s="6" t="n"/>
      <c r="G268" s="6" t="n"/>
      <c r="H268" s="31" t="n"/>
      <c r="I268" s="6" t="n"/>
      <c r="J268" s="6" t="n"/>
      <c r="K268" s="17">
        <f>IF($A268="","",$A268&amp;"|"&amp;COUNTIF($A$2:$A268,$A268))</f>
        <v/>
      </c>
    </row>
    <row r="269">
      <c r="A269" s="29" t="n"/>
      <c r="B269" s="29" t="n"/>
      <c r="C269" s="29" t="n"/>
      <c r="D269" s="34" t="n"/>
      <c r="E269" s="29" t="n"/>
      <c r="F269" s="6" t="n"/>
      <c r="G269" s="6" t="n"/>
      <c r="H269" s="31" t="n"/>
      <c r="I269" s="6" t="n"/>
      <c r="J269" s="6" t="n"/>
      <c r="K269" s="17">
        <f>IF($A269="","",$A269&amp;"|"&amp;COUNTIF($A$2:$A269,$A269))</f>
        <v/>
      </c>
    </row>
    <row r="270">
      <c r="A270" s="29" t="n"/>
      <c r="B270" s="29" t="n"/>
      <c r="C270" s="29" t="n"/>
      <c r="D270" s="34" t="n"/>
      <c r="E270" s="29" t="n"/>
      <c r="F270" s="6" t="n"/>
      <c r="G270" s="6" t="n"/>
      <c r="H270" s="31" t="n"/>
      <c r="I270" s="6" t="n"/>
      <c r="J270" s="6" t="n"/>
      <c r="K270" s="17">
        <f>IF($A270="","",$A270&amp;"|"&amp;COUNTIF($A$2:$A270,$A270))</f>
        <v/>
      </c>
    </row>
    <row r="271">
      <c r="A271" s="29" t="n"/>
      <c r="B271" s="29" t="n"/>
      <c r="C271" s="29" t="n"/>
      <c r="D271" s="34" t="n"/>
      <c r="E271" s="29" t="n"/>
      <c r="F271" s="6" t="n"/>
      <c r="G271" s="6" t="n"/>
      <c r="H271" s="31" t="n"/>
      <c r="I271" s="6" t="n"/>
      <c r="J271" s="6" t="n"/>
      <c r="K271" s="17">
        <f>IF($A271="","",$A271&amp;"|"&amp;COUNTIF($A$2:$A271,$A271))</f>
        <v/>
      </c>
    </row>
    <row r="272">
      <c r="A272" s="29" t="n"/>
      <c r="B272" s="29" t="n"/>
      <c r="C272" s="29" t="n"/>
      <c r="D272" s="34" t="n"/>
      <c r="E272" s="29" t="n"/>
      <c r="F272" s="6" t="n"/>
      <c r="G272" s="6" t="n"/>
      <c r="H272" s="31" t="n"/>
      <c r="I272" s="6" t="n"/>
      <c r="J272" s="6" t="n"/>
      <c r="K272" s="17">
        <f>IF($A272="","",$A272&amp;"|"&amp;COUNTIF($A$2:$A272,$A272))</f>
        <v/>
      </c>
    </row>
    <row r="273">
      <c r="A273" s="29" t="n"/>
      <c r="B273" s="29" t="n"/>
      <c r="C273" s="29" t="n"/>
      <c r="D273" s="34" t="n"/>
      <c r="E273" s="29" t="n"/>
      <c r="F273" s="6" t="n"/>
      <c r="G273" s="6" t="n"/>
      <c r="H273" s="31" t="n"/>
      <c r="I273" s="6" t="n"/>
      <c r="J273" s="6" t="n"/>
      <c r="K273" s="17">
        <f>IF($A273="","",$A273&amp;"|"&amp;COUNTIF($A$2:$A273,$A273))</f>
        <v/>
      </c>
    </row>
    <row r="274">
      <c r="A274" s="29" t="n"/>
      <c r="B274" s="29" t="n"/>
      <c r="C274" s="29" t="n"/>
      <c r="D274" s="34" t="n"/>
      <c r="E274" s="29" t="n"/>
      <c r="F274" s="6" t="n"/>
      <c r="G274" s="6" t="n"/>
      <c r="H274" s="31" t="n"/>
      <c r="I274" s="6" t="n"/>
      <c r="J274" s="6" t="n"/>
      <c r="K274" s="17">
        <f>IF($A274="","",$A274&amp;"|"&amp;COUNTIF($A$2:$A274,$A274))</f>
        <v/>
      </c>
    </row>
    <row r="275">
      <c r="A275" s="29" t="n"/>
      <c r="B275" s="29" t="n"/>
      <c r="C275" s="29" t="n"/>
      <c r="D275" s="34" t="n"/>
      <c r="E275" s="29" t="n"/>
      <c r="F275" s="6" t="n"/>
      <c r="G275" s="6" t="n"/>
      <c r="H275" s="31" t="n"/>
      <c r="I275" s="6" t="n"/>
      <c r="J275" s="6" t="n"/>
      <c r="K275" s="17">
        <f>IF($A275="","",$A275&amp;"|"&amp;COUNTIF($A$2:$A275,$A275))</f>
        <v/>
      </c>
    </row>
    <row r="276">
      <c r="A276" s="29" t="n"/>
      <c r="B276" s="29" t="n"/>
      <c r="C276" s="29" t="n"/>
      <c r="D276" s="34" t="n"/>
      <c r="E276" s="29" t="n"/>
      <c r="F276" s="6" t="n"/>
      <c r="G276" s="6" t="n"/>
      <c r="H276" s="31" t="n"/>
      <c r="I276" s="6" t="n"/>
      <c r="J276" s="6" t="n"/>
      <c r="K276" s="17">
        <f>IF($A276="","",$A276&amp;"|"&amp;COUNTIF($A$2:$A276,$A276))</f>
        <v/>
      </c>
    </row>
    <row r="277">
      <c r="A277" s="29" t="n"/>
      <c r="B277" s="29" t="n"/>
      <c r="C277" s="29" t="n"/>
      <c r="D277" s="34" t="n"/>
      <c r="E277" s="29" t="n"/>
      <c r="F277" s="6" t="n"/>
      <c r="G277" s="6" t="n"/>
      <c r="H277" s="31" t="n"/>
      <c r="I277" s="6" t="n"/>
      <c r="J277" s="6" t="n"/>
      <c r="K277" s="17">
        <f>IF($A277="","",$A277&amp;"|"&amp;COUNTIF($A$2:$A277,$A277))</f>
        <v/>
      </c>
    </row>
    <row r="278">
      <c r="A278" s="29" t="n"/>
      <c r="B278" s="29" t="n"/>
      <c r="C278" s="29" t="n"/>
      <c r="D278" s="34" t="n"/>
      <c r="E278" s="29" t="n"/>
      <c r="F278" s="6" t="n"/>
      <c r="G278" s="6" t="n"/>
      <c r="H278" s="31" t="n"/>
      <c r="I278" s="6" t="n"/>
      <c r="J278" s="6" t="n"/>
      <c r="K278" s="17">
        <f>IF($A278="","",$A278&amp;"|"&amp;COUNTIF($A$2:$A278,$A278))</f>
        <v/>
      </c>
    </row>
    <row r="279">
      <c r="A279" s="29" t="n"/>
      <c r="B279" s="29" t="n"/>
      <c r="C279" s="29" t="n"/>
      <c r="D279" s="34" t="n"/>
      <c r="E279" s="29" t="n"/>
      <c r="F279" s="6" t="n"/>
      <c r="G279" s="6" t="n"/>
      <c r="H279" s="31" t="n"/>
      <c r="I279" s="6" t="n"/>
      <c r="J279" s="6" t="n"/>
      <c r="K279" s="17">
        <f>IF($A279="","",$A279&amp;"|"&amp;COUNTIF($A$2:$A279,$A279))</f>
        <v/>
      </c>
    </row>
    <row r="280">
      <c r="A280" s="29" t="n"/>
      <c r="B280" s="29" t="n"/>
      <c r="C280" s="29" t="n"/>
      <c r="D280" s="34" t="n"/>
      <c r="E280" s="29" t="n"/>
      <c r="F280" s="6" t="n"/>
      <c r="G280" s="6" t="n"/>
      <c r="H280" s="31" t="n"/>
      <c r="I280" s="6" t="n"/>
      <c r="J280" s="6" t="n"/>
      <c r="K280" s="17">
        <f>IF($A280="","",$A280&amp;"|"&amp;COUNTIF($A$2:$A280,$A280))</f>
        <v/>
      </c>
    </row>
    <row r="281">
      <c r="A281" s="29" t="n"/>
      <c r="B281" s="29" t="n"/>
      <c r="C281" s="29" t="n"/>
      <c r="D281" s="34" t="n"/>
      <c r="E281" s="29" t="n"/>
      <c r="F281" s="6" t="n"/>
      <c r="G281" s="6" t="n"/>
      <c r="H281" s="31" t="n"/>
      <c r="I281" s="6" t="n"/>
      <c r="J281" s="6" t="n"/>
      <c r="K281" s="17">
        <f>IF($A281="","",$A281&amp;"|"&amp;COUNTIF($A$2:$A281,$A281))</f>
        <v/>
      </c>
    </row>
    <row r="282">
      <c r="A282" s="29" t="n"/>
      <c r="B282" s="29" t="n"/>
      <c r="C282" s="29" t="n"/>
      <c r="D282" s="34" t="n"/>
      <c r="E282" s="29" t="n"/>
      <c r="F282" s="6" t="n"/>
      <c r="G282" s="6" t="n"/>
      <c r="H282" s="31" t="n"/>
      <c r="I282" s="6" t="n"/>
      <c r="J282" s="6" t="n"/>
      <c r="K282" s="17">
        <f>IF($A282="","",$A282&amp;"|"&amp;COUNTIF($A$2:$A282,$A282))</f>
        <v/>
      </c>
    </row>
    <row r="283">
      <c r="A283" s="29" t="n"/>
      <c r="B283" s="29" t="n"/>
      <c r="C283" s="29" t="n"/>
      <c r="D283" s="34" t="n"/>
      <c r="E283" s="29" t="n"/>
      <c r="F283" s="6" t="n"/>
      <c r="G283" s="6" t="n"/>
      <c r="H283" s="31" t="n"/>
      <c r="I283" s="6" t="n"/>
      <c r="J283" s="6" t="n"/>
      <c r="K283" s="17">
        <f>IF($A283="","",$A283&amp;"|"&amp;COUNTIF($A$2:$A283,$A283))</f>
        <v/>
      </c>
    </row>
    <row r="284">
      <c r="A284" s="29" t="n"/>
      <c r="B284" s="29" t="n"/>
      <c r="C284" s="29" t="n"/>
      <c r="D284" s="34" t="n"/>
      <c r="E284" s="29" t="n"/>
      <c r="F284" s="6" t="n"/>
      <c r="G284" s="6" t="n"/>
      <c r="H284" s="31" t="n"/>
      <c r="I284" s="6" t="n"/>
      <c r="J284" s="6" t="n"/>
      <c r="K284" s="17">
        <f>IF($A284="","",$A284&amp;"|"&amp;COUNTIF($A$2:$A284,$A284))</f>
        <v/>
      </c>
    </row>
    <row r="285">
      <c r="A285" s="29" t="n"/>
      <c r="B285" s="29" t="n"/>
      <c r="C285" s="29" t="n"/>
      <c r="D285" s="34" t="n"/>
      <c r="E285" s="29" t="n"/>
      <c r="F285" s="6" t="n"/>
      <c r="G285" s="6" t="n"/>
      <c r="H285" s="31" t="n"/>
      <c r="I285" s="6" t="n"/>
      <c r="J285" s="6" t="n"/>
      <c r="K285" s="17">
        <f>IF($A285="","",$A285&amp;"|"&amp;COUNTIF($A$2:$A285,$A285))</f>
        <v/>
      </c>
    </row>
    <row r="286">
      <c r="A286" s="29" t="n"/>
      <c r="B286" s="29" t="n"/>
      <c r="C286" s="29" t="n"/>
      <c r="D286" s="34" t="n"/>
      <c r="E286" s="29" t="n"/>
      <c r="F286" s="6" t="n"/>
      <c r="G286" s="6" t="n"/>
      <c r="H286" s="31" t="n"/>
      <c r="I286" s="6" t="n"/>
      <c r="J286" s="6" t="n"/>
      <c r="K286" s="17">
        <f>IF($A286="","",$A286&amp;"|"&amp;COUNTIF($A$2:$A286,$A286))</f>
        <v/>
      </c>
    </row>
    <row r="287">
      <c r="A287" s="29" t="n"/>
      <c r="B287" s="29" t="n"/>
      <c r="C287" s="29" t="n"/>
      <c r="D287" s="34" t="n"/>
      <c r="E287" s="29" t="n"/>
      <c r="F287" s="6" t="n"/>
      <c r="G287" s="6" t="n"/>
      <c r="H287" s="31" t="n"/>
      <c r="I287" s="6" t="n"/>
      <c r="J287" s="6" t="n"/>
      <c r="K287" s="17">
        <f>IF($A287="","",$A287&amp;"|"&amp;COUNTIF($A$2:$A287,$A287))</f>
        <v/>
      </c>
    </row>
    <row r="288">
      <c r="A288" s="29" t="n"/>
      <c r="B288" s="29" t="n"/>
      <c r="C288" s="29" t="n"/>
      <c r="D288" s="34" t="n"/>
      <c r="E288" s="29" t="n"/>
      <c r="F288" s="6" t="n"/>
      <c r="G288" s="6" t="n"/>
      <c r="H288" s="31" t="n"/>
      <c r="I288" s="6" t="n"/>
      <c r="J288" s="6" t="n"/>
      <c r="K288" s="17">
        <f>IF($A288="","",$A288&amp;"|"&amp;COUNTIF($A$2:$A288,$A288))</f>
        <v/>
      </c>
    </row>
    <row r="289">
      <c r="A289" s="29" t="n"/>
      <c r="B289" s="29" t="n"/>
      <c r="C289" s="29" t="n"/>
      <c r="D289" s="34" t="n"/>
      <c r="E289" s="29" t="n"/>
      <c r="F289" s="6" t="n"/>
      <c r="G289" s="6" t="n"/>
      <c r="H289" s="31" t="n"/>
      <c r="I289" s="6" t="n"/>
      <c r="J289" s="6" t="n"/>
      <c r="K289" s="17">
        <f>IF($A289="","",$A289&amp;"|"&amp;COUNTIF($A$2:$A289,$A289))</f>
        <v/>
      </c>
    </row>
    <row r="290">
      <c r="A290" s="29" t="n"/>
      <c r="B290" s="29" t="n"/>
      <c r="C290" s="29" t="n"/>
      <c r="D290" s="34" t="n"/>
      <c r="E290" s="29" t="n"/>
      <c r="F290" s="6" t="n"/>
      <c r="G290" s="6" t="n"/>
      <c r="H290" s="31" t="n"/>
      <c r="I290" s="6" t="n"/>
      <c r="J290" s="6" t="n"/>
      <c r="K290" s="17">
        <f>IF($A290="","",$A290&amp;"|"&amp;COUNTIF($A$2:$A290,$A290))</f>
        <v/>
      </c>
    </row>
    <row r="291">
      <c r="A291" s="29" t="n"/>
      <c r="B291" s="29" t="n"/>
      <c r="C291" s="29" t="n"/>
      <c r="D291" s="34" t="n"/>
      <c r="E291" s="29" t="n"/>
      <c r="F291" s="6" t="n"/>
      <c r="G291" s="6" t="n"/>
      <c r="H291" s="31" t="n"/>
      <c r="I291" s="6" t="n"/>
      <c r="J291" s="6" t="n"/>
      <c r="K291" s="17">
        <f>IF($A291="","",$A291&amp;"|"&amp;COUNTIF($A$2:$A291,$A291))</f>
        <v/>
      </c>
    </row>
    <row r="292">
      <c r="A292" s="29" t="n"/>
      <c r="B292" s="29" t="n"/>
      <c r="C292" s="29" t="n"/>
      <c r="D292" s="34" t="n"/>
      <c r="E292" s="29" t="n"/>
      <c r="F292" s="6" t="n"/>
      <c r="G292" s="6" t="n"/>
      <c r="H292" s="31" t="n"/>
      <c r="I292" s="6" t="n"/>
      <c r="J292" s="6" t="n"/>
      <c r="K292" s="17">
        <f>IF($A292="","",$A292&amp;"|"&amp;COUNTIF($A$2:$A292,$A292))</f>
        <v/>
      </c>
    </row>
    <row r="293">
      <c r="A293" s="29" t="n"/>
      <c r="B293" s="29" t="n"/>
      <c r="C293" s="29" t="n"/>
      <c r="D293" s="34" t="n"/>
      <c r="E293" s="29" t="n"/>
      <c r="F293" s="6" t="n"/>
      <c r="G293" s="6" t="n"/>
      <c r="H293" s="31" t="n"/>
      <c r="I293" s="6" t="n"/>
      <c r="J293" s="6" t="n"/>
      <c r="K293" s="17">
        <f>IF($A293="","",$A293&amp;"|"&amp;COUNTIF($A$2:$A293,$A293))</f>
        <v/>
      </c>
    </row>
    <row r="294">
      <c r="A294" s="29" t="n"/>
      <c r="B294" s="29" t="n"/>
      <c r="C294" s="29" t="n"/>
      <c r="D294" s="34" t="n"/>
      <c r="E294" s="29" t="n"/>
      <c r="F294" s="6" t="n"/>
      <c r="G294" s="6" t="n"/>
      <c r="H294" s="31" t="n"/>
      <c r="I294" s="6" t="n"/>
      <c r="J294" s="6" t="n"/>
      <c r="K294" s="17">
        <f>IF($A294="","",$A294&amp;"|"&amp;COUNTIF($A$2:$A294,$A294))</f>
        <v/>
      </c>
    </row>
    <row r="295">
      <c r="A295" s="29" t="n"/>
      <c r="B295" s="29" t="n"/>
      <c r="C295" s="29" t="n"/>
      <c r="D295" s="34" t="n"/>
      <c r="E295" s="29" t="n"/>
      <c r="F295" s="6" t="n"/>
      <c r="G295" s="6" t="n"/>
      <c r="H295" s="31" t="n"/>
      <c r="I295" s="6" t="n"/>
      <c r="J295" s="6" t="n"/>
      <c r="K295" s="17">
        <f>IF($A295="","",$A295&amp;"|"&amp;COUNTIF($A$2:$A295,$A295))</f>
        <v/>
      </c>
    </row>
    <row r="296">
      <c r="A296" s="29" t="n"/>
      <c r="B296" s="29" t="n"/>
      <c r="C296" s="29" t="n"/>
      <c r="D296" s="34" t="n"/>
      <c r="E296" s="29" t="n"/>
      <c r="F296" s="6" t="n"/>
      <c r="G296" s="6" t="n"/>
      <c r="H296" s="31" t="n"/>
      <c r="I296" s="6" t="n"/>
      <c r="J296" s="6" t="n"/>
      <c r="K296" s="17">
        <f>IF($A296="","",$A296&amp;"|"&amp;COUNTIF($A$2:$A296,$A296))</f>
        <v/>
      </c>
    </row>
    <row r="297">
      <c r="A297" s="29" t="n"/>
      <c r="B297" s="29" t="n"/>
      <c r="C297" s="29" t="n"/>
      <c r="D297" s="34" t="n"/>
      <c r="E297" s="29" t="n"/>
      <c r="F297" s="6" t="n"/>
      <c r="G297" s="6" t="n"/>
      <c r="H297" s="31" t="n"/>
      <c r="I297" s="6" t="n"/>
      <c r="J297" s="6" t="n"/>
      <c r="K297" s="17">
        <f>IF($A297="","",$A297&amp;"|"&amp;COUNTIF($A$2:$A297,$A297))</f>
        <v/>
      </c>
    </row>
    <row r="298">
      <c r="A298" s="29" t="n"/>
      <c r="B298" s="29" t="n"/>
      <c r="C298" s="29" t="n"/>
      <c r="D298" s="34" t="n"/>
      <c r="E298" s="29" t="n"/>
      <c r="F298" s="6" t="n"/>
      <c r="G298" s="6" t="n"/>
      <c r="H298" s="31" t="n"/>
      <c r="I298" s="6" t="n"/>
      <c r="J298" s="6" t="n"/>
      <c r="K298" s="17">
        <f>IF($A298="","",$A298&amp;"|"&amp;COUNTIF($A$2:$A298,$A298))</f>
        <v/>
      </c>
    </row>
    <row r="299">
      <c r="A299" s="29" t="n"/>
      <c r="B299" s="29" t="n"/>
      <c r="C299" s="29" t="n"/>
      <c r="D299" s="34" t="n"/>
      <c r="E299" s="29" t="n"/>
      <c r="F299" s="6" t="n"/>
      <c r="G299" s="6" t="n"/>
      <c r="H299" s="31" t="n"/>
      <c r="I299" s="6" t="n"/>
      <c r="J299" s="6" t="n"/>
      <c r="K299" s="17">
        <f>IF($A299="","",$A299&amp;"|"&amp;COUNTIF($A$2:$A299,$A299))</f>
        <v/>
      </c>
    </row>
    <row r="300">
      <c r="A300" s="29" t="n"/>
      <c r="B300" s="29" t="n"/>
      <c r="C300" s="29" t="n"/>
      <c r="D300" s="34" t="n"/>
      <c r="E300" s="29" t="n"/>
      <c r="F300" s="6" t="n"/>
      <c r="G300" s="6" t="n"/>
      <c r="H300" s="31" t="n"/>
      <c r="I300" s="6" t="n"/>
      <c r="J300" s="6" t="n"/>
      <c r="K300" s="17">
        <f>IF($A300="","",$A300&amp;"|"&amp;COUNTIF($A$2:$A300,$A300))</f>
        <v/>
      </c>
    </row>
    <row r="301">
      <c r="A301" s="29" t="n"/>
      <c r="B301" s="29" t="n"/>
      <c r="C301" s="29" t="n"/>
      <c r="D301" s="34" t="n"/>
      <c r="E301" s="29" t="n"/>
      <c r="F301" s="6" t="n"/>
      <c r="G301" s="6" t="n"/>
      <c r="H301" s="31" t="n"/>
      <c r="I301" s="6" t="n"/>
      <c r="J301" s="6" t="n"/>
      <c r="K301" s="17">
        <f>IF($A301="","",$A301&amp;"|"&amp;COUNTIF($A$2:$A301,$A301))</f>
        <v/>
      </c>
    </row>
  </sheetData>
  <autoFilter ref="A1:J301"/>
  <conditionalFormatting sqref="A2:J301">
    <cfRule type="expression" priority="10" dxfId="0">
      <formula>AND(MOD(ROW(),2)=0,$A2&lt;&gt;"")</formula>
    </cfRule>
  </conditionalFormatting>
  <conditionalFormatting sqref="A2:A301">
    <cfRule type="expression" priority="1" dxfId="2">
      <formula>AND($A2&lt;&gt;"",COUNTIF(Builders!$A$2:$A$201,$A2)=0)</formula>
    </cfRule>
  </conditionalFormatting>
  <conditionalFormatting sqref="C2:C301">
    <cfRule type="expression" priority="2" dxfId="3">
      <formula>AND($C2&lt;&gt;"",$D2="",$E2="")</formula>
    </cfRule>
  </conditionalFormatting>
  <dataValidations count="3">
    <dataValidation sqref="A2:A301" showDropDown="0" showInputMessage="0" showErrorMessage="0" allowBlank="1" type="list">
      <formula1>BuilderList</formula1>
    </dataValidation>
    <dataValidation sqref="B2:B301" showDropDown="0" showInputMessage="0" showErrorMessage="0" allowBlank="1" type="list">
      <formula1>RoleList</formula1>
    </dataValidation>
    <dataValidation sqref="H2:H301" showDropDown="0" showInputMessage="0" showErrorMessage="0" allowBlank="1" type="list">
      <formula1>"Yes"</formula1>
    </dataValidation>
  </dataValidations>
  <printOptions gridLines="1"/>
  <pageMargins left="0.4" right="0.4" top="0.5" bottom="0.5" header="0.5" footer="0.5"/>
  <pageSetup orientation="landscape" paperSize="1" fitToHeight="0" fitToWidth="1"/>
  <headerFooter>
    <oddHeader/>
    <oddFooter>&amp;L&amp;A&amp;RPage &amp;P of &amp;N</oddFooter>
    <evenHeader/>
    <evenFooter/>
    <firstHeader/>
    <firstFooter/>
  </headerFooter>
</worksheet>
</file>

<file path=xl/worksheets/sheet6.xml><?xml version="1.0" encoding="utf-8"?>
<worksheet xmlns="http://schemas.openxmlformats.org/spreadsheetml/2006/main">
  <sheetPr>
    <tabColor rgb="005B8A6A"/>
    <outlinePr summaryBelow="1" summaryRight="1"/>
    <pageSetUpPr fitToPage="1"/>
  </sheetPr>
  <dimension ref="A1:E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2" customWidth="1" min="2" max="2"/>
    <col width="16" customWidth="1" min="3" max="3"/>
    <col width="36" customWidth="1" min="4" max="4"/>
    <col width="50" customWidth="1" min="5" max="5"/>
  </cols>
  <sheetData>
    <row r="1" ht="30" customHeight="1">
      <c r="A1" s="27" t="inlineStr">
        <is>
          <t>Title company</t>
        </is>
      </c>
      <c r="B1" s="27" t="inlineStr">
        <is>
          <t>Team or group email</t>
        </is>
      </c>
      <c r="C1" s="27" t="inlineStr">
        <is>
          <t>Office phone</t>
        </is>
      </c>
      <c r="D1" s="27" t="inlineStr">
        <is>
          <t>Office address</t>
        </is>
      </c>
      <c r="E1" s="27" t="inlineStr">
        <is>
          <t>Notes</t>
        </is>
      </c>
    </row>
    <row r="2">
      <c r="A2" s="29" t="n"/>
      <c r="B2" s="29" t="n"/>
      <c r="C2" s="34" t="n"/>
      <c r="D2" s="6" t="n"/>
      <c r="E2" s="6" t="n"/>
    </row>
    <row r="3">
      <c r="A3" s="29" t="n"/>
      <c r="B3" s="29" t="n"/>
      <c r="C3" s="34" t="n"/>
      <c r="D3" s="6" t="n"/>
      <c r="E3" s="6" t="n"/>
    </row>
    <row r="4">
      <c r="A4" s="29" t="n"/>
      <c r="B4" s="29" t="n"/>
      <c r="C4" s="34" t="n"/>
      <c r="D4" s="6" t="n"/>
      <c r="E4" s="6" t="n"/>
    </row>
    <row r="5">
      <c r="A5" s="29" t="n"/>
      <c r="B5" s="29" t="n"/>
      <c r="C5" s="34" t="n"/>
      <c r="D5" s="6" t="n"/>
      <c r="E5" s="6" t="n"/>
    </row>
    <row r="6">
      <c r="A6" s="29" t="n"/>
      <c r="B6" s="29" t="n"/>
      <c r="C6" s="34" t="n"/>
      <c r="D6" s="6" t="n"/>
      <c r="E6" s="6" t="n"/>
    </row>
    <row r="7">
      <c r="A7" s="29" t="n"/>
      <c r="B7" s="29" t="n"/>
      <c r="C7" s="34" t="n"/>
      <c r="D7" s="6" t="n"/>
      <c r="E7" s="6" t="n"/>
    </row>
    <row r="8">
      <c r="A8" s="29" t="n"/>
      <c r="B8" s="29" t="n"/>
      <c r="C8" s="34" t="n"/>
      <c r="D8" s="6" t="n"/>
      <c r="E8" s="6" t="n"/>
    </row>
    <row r="9">
      <c r="A9" s="29" t="n"/>
      <c r="B9" s="29" t="n"/>
      <c r="C9" s="34" t="n"/>
      <c r="D9" s="6" t="n"/>
      <c r="E9" s="6" t="n"/>
    </row>
    <row r="10">
      <c r="A10" s="29" t="n"/>
      <c r="B10" s="29" t="n"/>
      <c r="C10" s="34" t="n"/>
      <c r="D10" s="6" t="n"/>
      <c r="E10" s="6" t="n"/>
    </row>
    <row r="11">
      <c r="A11" s="29" t="n"/>
      <c r="B11" s="29" t="n"/>
      <c r="C11" s="34" t="n"/>
      <c r="D11" s="6" t="n"/>
      <c r="E11" s="6" t="n"/>
    </row>
    <row r="12">
      <c r="A12" s="29" t="n"/>
      <c r="B12" s="29" t="n"/>
      <c r="C12" s="34" t="n"/>
      <c r="D12" s="6" t="n"/>
      <c r="E12" s="6" t="n"/>
    </row>
    <row r="13">
      <c r="A13" s="29" t="n"/>
      <c r="B13" s="29" t="n"/>
      <c r="C13" s="34" t="n"/>
      <c r="D13" s="6" t="n"/>
      <c r="E13" s="6" t="n"/>
    </row>
    <row r="14">
      <c r="A14" s="29" t="n"/>
      <c r="B14" s="29" t="n"/>
      <c r="C14" s="34" t="n"/>
      <c r="D14" s="6" t="n"/>
      <c r="E14" s="6" t="n"/>
    </row>
    <row r="15">
      <c r="A15" s="29" t="n"/>
      <c r="B15" s="29" t="n"/>
      <c r="C15" s="34" t="n"/>
      <c r="D15" s="6" t="n"/>
      <c r="E15" s="6" t="n"/>
    </row>
    <row r="16">
      <c r="A16" s="29" t="n"/>
      <c r="B16" s="29" t="n"/>
      <c r="C16" s="34" t="n"/>
      <c r="D16" s="6" t="n"/>
      <c r="E16" s="6" t="n"/>
    </row>
    <row r="17">
      <c r="A17" s="29" t="n"/>
      <c r="B17" s="29" t="n"/>
      <c r="C17" s="34" t="n"/>
      <c r="D17" s="6" t="n"/>
      <c r="E17" s="6" t="n"/>
    </row>
    <row r="18">
      <c r="A18" s="29" t="n"/>
      <c r="B18" s="29" t="n"/>
      <c r="C18" s="34" t="n"/>
      <c r="D18" s="6" t="n"/>
      <c r="E18" s="6" t="n"/>
    </row>
    <row r="19">
      <c r="A19" s="29" t="n"/>
      <c r="B19" s="29" t="n"/>
      <c r="C19" s="34" t="n"/>
      <c r="D19" s="6" t="n"/>
      <c r="E19" s="6" t="n"/>
    </row>
    <row r="20">
      <c r="A20" s="29" t="n"/>
      <c r="B20" s="29" t="n"/>
      <c r="C20" s="34" t="n"/>
      <c r="D20" s="6" t="n"/>
      <c r="E20" s="6" t="n"/>
    </row>
    <row r="21">
      <c r="A21" s="29" t="n"/>
      <c r="B21" s="29" t="n"/>
      <c r="C21" s="34" t="n"/>
      <c r="D21" s="6" t="n"/>
      <c r="E21" s="6" t="n"/>
    </row>
    <row r="22">
      <c r="A22" s="29" t="n"/>
      <c r="B22" s="29" t="n"/>
      <c r="C22" s="34" t="n"/>
      <c r="D22" s="6" t="n"/>
      <c r="E22" s="6" t="n"/>
    </row>
    <row r="23">
      <c r="A23" s="29" t="n"/>
      <c r="B23" s="29" t="n"/>
      <c r="C23" s="34" t="n"/>
      <c r="D23" s="6" t="n"/>
      <c r="E23" s="6" t="n"/>
    </row>
    <row r="24">
      <c r="A24" s="29" t="n"/>
      <c r="B24" s="29" t="n"/>
      <c r="C24" s="34" t="n"/>
      <c r="D24" s="6" t="n"/>
      <c r="E24" s="6" t="n"/>
    </row>
    <row r="25">
      <c r="A25" s="29" t="n"/>
      <c r="B25" s="29" t="n"/>
      <c r="C25" s="34" t="n"/>
      <c r="D25" s="6" t="n"/>
      <c r="E25" s="6" t="n"/>
    </row>
    <row r="26">
      <c r="A26" s="29" t="n"/>
      <c r="B26" s="29" t="n"/>
      <c r="C26" s="34" t="n"/>
      <c r="D26" s="6" t="n"/>
      <c r="E26" s="6" t="n"/>
    </row>
    <row r="27">
      <c r="A27" s="29" t="n"/>
      <c r="B27" s="29" t="n"/>
      <c r="C27" s="34" t="n"/>
      <c r="D27" s="6" t="n"/>
      <c r="E27" s="6" t="n"/>
    </row>
    <row r="28">
      <c r="A28" s="29" t="n"/>
      <c r="B28" s="29" t="n"/>
      <c r="C28" s="34" t="n"/>
      <c r="D28" s="6" t="n"/>
      <c r="E28" s="6" t="n"/>
    </row>
    <row r="29">
      <c r="A29" s="29" t="n"/>
      <c r="B29" s="29" t="n"/>
      <c r="C29" s="34" t="n"/>
      <c r="D29" s="6" t="n"/>
      <c r="E29" s="6" t="n"/>
    </row>
    <row r="30">
      <c r="A30" s="29" t="n"/>
      <c r="B30" s="29" t="n"/>
      <c r="C30" s="34" t="n"/>
      <c r="D30" s="6" t="n"/>
      <c r="E30" s="6" t="n"/>
    </row>
    <row r="31">
      <c r="A31" s="29" t="n"/>
      <c r="B31" s="29" t="n"/>
      <c r="C31" s="34" t="n"/>
      <c r="D31" s="6" t="n"/>
      <c r="E31" s="6" t="n"/>
    </row>
    <row r="32">
      <c r="A32" s="29" t="n"/>
      <c r="B32" s="29" t="n"/>
      <c r="C32" s="34" t="n"/>
      <c r="D32" s="6" t="n"/>
      <c r="E32" s="6" t="n"/>
    </row>
    <row r="33">
      <c r="A33" s="29" t="n"/>
      <c r="B33" s="29" t="n"/>
      <c r="C33" s="34" t="n"/>
      <c r="D33" s="6" t="n"/>
      <c r="E33" s="6" t="n"/>
    </row>
    <row r="34">
      <c r="A34" s="29" t="n"/>
      <c r="B34" s="29" t="n"/>
      <c r="C34" s="34" t="n"/>
      <c r="D34" s="6" t="n"/>
      <c r="E34" s="6" t="n"/>
    </row>
    <row r="35">
      <c r="A35" s="29" t="n"/>
      <c r="B35" s="29" t="n"/>
      <c r="C35" s="34" t="n"/>
      <c r="D35" s="6" t="n"/>
      <c r="E35" s="6" t="n"/>
    </row>
    <row r="36">
      <c r="A36" s="29" t="n"/>
      <c r="B36" s="29" t="n"/>
      <c r="C36" s="34" t="n"/>
      <c r="D36" s="6" t="n"/>
      <c r="E36" s="6" t="n"/>
    </row>
    <row r="37">
      <c r="A37" s="29" t="n"/>
      <c r="B37" s="29" t="n"/>
      <c r="C37" s="34" t="n"/>
      <c r="D37" s="6" t="n"/>
      <c r="E37" s="6" t="n"/>
    </row>
    <row r="38">
      <c r="A38" s="29" t="n"/>
      <c r="B38" s="29" t="n"/>
      <c r="C38" s="34" t="n"/>
      <c r="D38" s="6" t="n"/>
      <c r="E38" s="6" t="n"/>
    </row>
    <row r="39">
      <c r="A39" s="29" t="n"/>
      <c r="B39" s="29" t="n"/>
      <c r="C39" s="34" t="n"/>
      <c r="D39" s="6" t="n"/>
      <c r="E39" s="6" t="n"/>
    </row>
    <row r="40">
      <c r="A40" s="29" t="n"/>
      <c r="B40" s="29" t="n"/>
      <c r="C40" s="34" t="n"/>
      <c r="D40" s="6" t="n"/>
      <c r="E40" s="6" t="n"/>
    </row>
    <row r="41">
      <c r="A41" s="29" t="n"/>
      <c r="B41" s="29" t="n"/>
      <c r="C41" s="34" t="n"/>
      <c r="D41" s="6" t="n"/>
      <c r="E41" s="6" t="n"/>
    </row>
    <row r="42">
      <c r="A42" s="29" t="n"/>
      <c r="B42" s="29" t="n"/>
      <c r="C42" s="34" t="n"/>
      <c r="D42" s="6" t="n"/>
      <c r="E42" s="6" t="n"/>
    </row>
    <row r="43">
      <c r="A43" s="29" t="n"/>
      <c r="B43" s="29" t="n"/>
      <c r="C43" s="34" t="n"/>
      <c r="D43" s="6" t="n"/>
      <c r="E43" s="6" t="n"/>
    </row>
    <row r="44">
      <c r="A44" s="29" t="n"/>
      <c r="B44" s="29" t="n"/>
      <c r="C44" s="34" t="n"/>
      <c r="D44" s="6" t="n"/>
      <c r="E44" s="6" t="n"/>
    </row>
    <row r="45">
      <c r="A45" s="29" t="n"/>
      <c r="B45" s="29" t="n"/>
      <c r="C45" s="34" t="n"/>
      <c r="D45" s="6" t="n"/>
      <c r="E45" s="6" t="n"/>
    </row>
    <row r="46">
      <c r="A46" s="29" t="n"/>
      <c r="B46" s="29" t="n"/>
      <c r="C46" s="34" t="n"/>
      <c r="D46" s="6" t="n"/>
      <c r="E46" s="6" t="n"/>
    </row>
    <row r="47">
      <c r="A47" s="29" t="n"/>
      <c r="B47" s="29" t="n"/>
      <c r="C47" s="34" t="n"/>
      <c r="D47" s="6" t="n"/>
      <c r="E47" s="6" t="n"/>
    </row>
    <row r="48">
      <c r="A48" s="29" t="n"/>
      <c r="B48" s="29" t="n"/>
      <c r="C48" s="34" t="n"/>
      <c r="D48" s="6" t="n"/>
      <c r="E48" s="6" t="n"/>
    </row>
    <row r="49">
      <c r="A49" s="29" t="n"/>
      <c r="B49" s="29" t="n"/>
      <c r="C49" s="34" t="n"/>
      <c r="D49" s="6" t="n"/>
      <c r="E49" s="6" t="n"/>
    </row>
    <row r="50">
      <c r="A50" s="29" t="n"/>
      <c r="B50" s="29" t="n"/>
      <c r="C50" s="34" t="n"/>
      <c r="D50" s="6" t="n"/>
      <c r="E50" s="6" t="n"/>
    </row>
    <row r="51">
      <c r="A51" s="29" t="n"/>
      <c r="B51" s="29" t="n"/>
      <c r="C51" s="34" t="n"/>
      <c r="D51" s="6" t="n"/>
      <c r="E51" s="6" t="n"/>
    </row>
    <row r="52">
      <c r="A52" s="29" t="n"/>
      <c r="B52" s="29" t="n"/>
      <c r="C52" s="34" t="n"/>
      <c r="D52" s="6" t="n"/>
      <c r="E52" s="6" t="n"/>
    </row>
    <row r="53">
      <c r="A53" s="29" t="n"/>
      <c r="B53" s="29" t="n"/>
      <c r="C53" s="34" t="n"/>
      <c r="D53" s="6" t="n"/>
      <c r="E53" s="6" t="n"/>
    </row>
    <row r="54">
      <c r="A54" s="29" t="n"/>
      <c r="B54" s="29" t="n"/>
      <c r="C54" s="34" t="n"/>
      <c r="D54" s="6" t="n"/>
      <c r="E54" s="6" t="n"/>
    </row>
    <row r="55">
      <c r="A55" s="29" t="n"/>
      <c r="B55" s="29" t="n"/>
      <c r="C55" s="34" t="n"/>
      <c r="D55" s="6" t="n"/>
      <c r="E55" s="6" t="n"/>
    </row>
    <row r="56">
      <c r="A56" s="29" t="n"/>
      <c r="B56" s="29" t="n"/>
      <c r="C56" s="34" t="n"/>
      <c r="D56" s="6" t="n"/>
      <c r="E56" s="6" t="n"/>
    </row>
    <row r="57">
      <c r="A57" s="29" t="n"/>
      <c r="B57" s="29" t="n"/>
      <c r="C57" s="34" t="n"/>
      <c r="D57" s="6" t="n"/>
      <c r="E57" s="6" t="n"/>
    </row>
    <row r="58">
      <c r="A58" s="29" t="n"/>
      <c r="B58" s="29" t="n"/>
      <c r="C58" s="34" t="n"/>
      <c r="D58" s="6" t="n"/>
      <c r="E58" s="6" t="n"/>
    </row>
    <row r="59">
      <c r="A59" s="29" t="n"/>
      <c r="B59" s="29" t="n"/>
      <c r="C59" s="34" t="n"/>
      <c r="D59" s="6" t="n"/>
      <c r="E59" s="6" t="n"/>
    </row>
    <row r="60">
      <c r="A60" s="29" t="n"/>
      <c r="B60" s="29" t="n"/>
      <c r="C60" s="34" t="n"/>
      <c r="D60" s="6" t="n"/>
      <c r="E60" s="6" t="n"/>
    </row>
    <row r="61">
      <c r="A61" s="29" t="n"/>
      <c r="B61" s="29" t="n"/>
      <c r="C61" s="34" t="n"/>
      <c r="D61" s="6" t="n"/>
      <c r="E61" s="6" t="n"/>
    </row>
    <row r="62">
      <c r="A62" s="29" t="n"/>
      <c r="B62" s="29" t="n"/>
      <c r="C62" s="34" t="n"/>
      <c r="D62" s="6" t="n"/>
      <c r="E62" s="6" t="n"/>
    </row>
    <row r="63">
      <c r="A63" s="29" t="n"/>
      <c r="B63" s="29" t="n"/>
      <c r="C63" s="34" t="n"/>
      <c r="D63" s="6" t="n"/>
      <c r="E63" s="6" t="n"/>
    </row>
    <row r="64">
      <c r="A64" s="29" t="n"/>
      <c r="B64" s="29" t="n"/>
      <c r="C64" s="34" t="n"/>
      <c r="D64" s="6" t="n"/>
      <c r="E64" s="6" t="n"/>
    </row>
    <row r="65">
      <c r="A65" s="29" t="n"/>
      <c r="B65" s="29" t="n"/>
      <c r="C65" s="34" t="n"/>
      <c r="D65" s="6" t="n"/>
      <c r="E65" s="6" t="n"/>
    </row>
    <row r="66">
      <c r="A66" s="29" t="n"/>
      <c r="B66" s="29" t="n"/>
      <c r="C66" s="34" t="n"/>
      <c r="D66" s="6" t="n"/>
      <c r="E66" s="6" t="n"/>
    </row>
    <row r="67">
      <c r="A67" s="29" t="n"/>
      <c r="B67" s="29" t="n"/>
      <c r="C67" s="34" t="n"/>
      <c r="D67" s="6" t="n"/>
      <c r="E67" s="6" t="n"/>
    </row>
    <row r="68">
      <c r="A68" s="29" t="n"/>
      <c r="B68" s="29" t="n"/>
      <c r="C68" s="34" t="n"/>
      <c r="D68" s="6" t="n"/>
      <c r="E68" s="6" t="n"/>
    </row>
    <row r="69">
      <c r="A69" s="29" t="n"/>
      <c r="B69" s="29" t="n"/>
      <c r="C69" s="34" t="n"/>
      <c r="D69" s="6" t="n"/>
      <c r="E69" s="6" t="n"/>
    </row>
    <row r="70">
      <c r="A70" s="29" t="n"/>
      <c r="B70" s="29" t="n"/>
      <c r="C70" s="34" t="n"/>
      <c r="D70" s="6" t="n"/>
      <c r="E70" s="6" t="n"/>
    </row>
    <row r="71">
      <c r="A71" s="29" t="n"/>
      <c r="B71" s="29" t="n"/>
      <c r="C71" s="34" t="n"/>
      <c r="D71" s="6" t="n"/>
      <c r="E71" s="6" t="n"/>
    </row>
    <row r="72">
      <c r="A72" s="29" t="n"/>
      <c r="B72" s="29" t="n"/>
      <c r="C72" s="34" t="n"/>
      <c r="D72" s="6" t="n"/>
      <c r="E72" s="6" t="n"/>
    </row>
    <row r="73">
      <c r="A73" s="29" t="n"/>
      <c r="B73" s="29" t="n"/>
      <c r="C73" s="34" t="n"/>
      <c r="D73" s="6" t="n"/>
      <c r="E73" s="6" t="n"/>
    </row>
    <row r="74">
      <c r="A74" s="29" t="n"/>
      <c r="B74" s="29" t="n"/>
      <c r="C74" s="34" t="n"/>
      <c r="D74" s="6" t="n"/>
      <c r="E74" s="6" t="n"/>
    </row>
    <row r="75">
      <c r="A75" s="29" t="n"/>
      <c r="B75" s="29" t="n"/>
      <c r="C75" s="34" t="n"/>
      <c r="D75" s="6" t="n"/>
      <c r="E75" s="6" t="n"/>
    </row>
    <row r="76">
      <c r="A76" s="29" t="n"/>
      <c r="B76" s="29" t="n"/>
      <c r="C76" s="34" t="n"/>
      <c r="D76" s="6" t="n"/>
      <c r="E76" s="6" t="n"/>
    </row>
    <row r="77">
      <c r="A77" s="29" t="n"/>
      <c r="B77" s="29" t="n"/>
      <c r="C77" s="34" t="n"/>
      <c r="D77" s="6" t="n"/>
      <c r="E77" s="6" t="n"/>
    </row>
    <row r="78">
      <c r="A78" s="29" t="n"/>
      <c r="B78" s="29" t="n"/>
      <c r="C78" s="34" t="n"/>
      <c r="D78" s="6" t="n"/>
      <c r="E78" s="6" t="n"/>
    </row>
    <row r="79">
      <c r="A79" s="29" t="n"/>
      <c r="B79" s="29" t="n"/>
      <c r="C79" s="34" t="n"/>
      <c r="D79" s="6" t="n"/>
      <c r="E79" s="6" t="n"/>
    </row>
    <row r="80">
      <c r="A80" s="29" t="n"/>
      <c r="B80" s="29" t="n"/>
      <c r="C80" s="34" t="n"/>
      <c r="D80" s="6" t="n"/>
      <c r="E80" s="6" t="n"/>
    </row>
    <row r="81">
      <c r="A81" s="29" t="n"/>
      <c r="B81" s="29" t="n"/>
      <c r="C81" s="34" t="n"/>
      <c r="D81" s="6" t="n"/>
      <c r="E81" s="6" t="n"/>
    </row>
    <row r="82">
      <c r="A82" s="29" t="n"/>
      <c r="B82" s="29" t="n"/>
      <c r="C82" s="34" t="n"/>
      <c r="D82" s="6" t="n"/>
      <c r="E82" s="6" t="n"/>
    </row>
    <row r="83">
      <c r="A83" s="29" t="n"/>
      <c r="B83" s="29" t="n"/>
      <c r="C83" s="34" t="n"/>
      <c r="D83" s="6" t="n"/>
      <c r="E83" s="6" t="n"/>
    </row>
    <row r="84">
      <c r="A84" s="29" t="n"/>
      <c r="B84" s="29" t="n"/>
      <c r="C84" s="34" t="n"/>
      <c r="D84" s="6" t="n"/>
      <c r="E84" s="6" t="n"/>
    </row>
    <row r="85">
      <c r="A85" s="29" t="n"/>
      <c r="B85" s="29" t="n"/>
      <c r="C85" s="34" t="n"/>
      <c r="D85" s="6" t="n"/>
      <c r="E85" s="6" t="n"/>
    </row>
    <row r="86">
      <c r="A86" s="29" t="n"/>
      <c r="B86" s="29" t="n"/>
      <c r="C86" s="34" t="n"/>
      <c r="D86" s="6" t="n"/>
      <c r="E86" s="6" t="n"/>
    </row>
    <row r="87">
      <c r="A87" s="29" t="n"/>
      <c r="B87" s="29" t="n"/>
      <c r="C87" s="34" t="n"/>
      <c r="D87" s="6" t="n"/>
      <c r="E87" s="6" t="n"/>
    </row>
    <row r="88">
      <c r="A88" s="29" t="n"/>
      <c r="B88" s="29" t="n"/>
      <c r="C88" s="34" t="n"/>
      <c r="D88" s="6" t="n"/>
      <c r="E88" s="6" t="n"/>
    </row>
    <row r="89">
      <c r="A89" s="29" t="n"/>
      <c r="B89" s="29" t="n"/>
      <c r="C89" s="34" t="n"/>
      <c r="D89" s="6" t="n"/>
      <c r="E89" s="6" t="n"/>
    </row>
    <row r="90">
      <c r="A90" s="29" t="n"/>
      <c r="B90" s="29" t="n"/>
      <c r="C90" s="34" t="n"/>
      <c r="D90" s="6" t="n"/>
      <c r="E90" s="6" t="n"/>
    </row>
    <row r="91">
      <c r="A91" s="29" t="n"/>
      <c r="B91" s="29" t="n"/>
      <c r="C91" s="34" t="n"/>
      <c r="D91" s="6" t="n"/>
      <c r="E91" s="6" t="n"/>
    </row>
    <row r="92">
      <c r="A92" s="29" t="n"/>
      <c r="B92" s="29" t="n"/>
      <c r="C92" s="34" t="n"/>
      <c r="D92" s="6" t="n"/>
      <c r="E92" s="6" t="n"/>
    </row>
    <row r="93">
      <c r="A93" s="29" t="n"/>
      <c r="B93" s="29" t="n"/>
      <c r="C93" s="34" t="n"/>
      <c r="D93" s="6" t="n"/>
      <c r="E93" s="6" t="n"/>
    </row>
    <row r="94">
      <c r="A94" s="29" t="n"/>
      <c r="B94" s="29" t="n"/>
      <c r="C94" s="34" t="n"/>
      <c r="D94" s="6" t="n"/>
      <c r="E94" s="6" t="n"/>
    </row>
    <row r="95">
      <c r="A95" s="29" t="n"/>
      <c r="B95" s="29" t="n"/>
      <c r="C95" s="34" t="n"/>
      <c r="D95" s="6" t="n"/>
      <c r="E95" s="6" t="n"/>
    </row>
    <row r="96">
      <c r="A96" s="29" t="n"/>
      <c r="B96" s="29" t="n"/>
      <c r="C96" s="34" t="n"/>
      <c r="D96" s="6" t="n"/>
      <c r="E96" s="6" t="n"/>
    </row>
    <row r="97">
      <c r="A97" s="29" t="n"/>
      <c r="B97" s="29" t="n"/>
      <c r="C97" s="34" t="n"/>
      <c r="D97" s="6" t="n"/>
      <c r="E97" s="6" t="n"/>
    </row>
    <row r="98">
      <c r="A98" s="29" t="n"/>
      <c r="B98" s="29" t="n"/>
      <c r="C98" s="34" t="n"/>
      <c r="D98" s="6" t="n"/>
      <c r="E98" s="6" t="n"/>
    </row>
    <row r="99">
      <c r="A99" s="29" t="n"/>
      <c r="B99" s="29" t="n"/>
      <c r="C99" s="34" t="n"/>
      <c r="D99" s="6" t="n"/>
      <c r="E99" s="6" t="n"/>
    </row>
    <row r="100">
      <c r="A100" s="29" t="n"/>
      <c r="B100" s="29" t="n"/>
      <c r="C100" s="34" t="n"/>
      <c r="D100" s="6" t="n"/>
      <c r="E100" s="6" t="n"/>
    </row>
    <row r="101">
      <c r="A101" s="29" t="n"/>
      <c r="B101" s="29" t="n"/>
      <c r="C101" s="34" t="n"/>
      <c r="D101" s="6" t="n"/>
      <c r="E101" s="6" t="n"/>
    </row>
  </sheetData>
  <autoFilter ref="A1:E101"/>
  <conditionalFormatting sqref="A2:E101">
    <cfRule type="expression" priority="10" dxfId="0">
      <formula>AND(MOD(ROW(),2)=0,$A2&lt;&gt;"")</formula>
    </cfRule>
  </conditionalFormatting>
  <conditionalFormatting sqref="A2:A101">
    <cfRule type="expression" priority="1" dxfId="2">
      <formula>AND($A2&lt;&gt;"",COUNTIF($A$2:$A$101,$A2)&gt;1)</formula>
    </cfRule>
  </conditionalFormatting>
  <printOptions gridLines="1"/>
  <pageMargins left="0.4" right="0.4" top="0.5" bottom="0.5" header="0.5" footer="0.5"/>
  <pageSetup orientation="landscape" paperSize="1" fitToHeight="0" fitToWidth="1"/>
  <headerFooter>
    <oddHeader/>
    <oddFooter>&amp;L&amp;A&amp;RPage &amp;P of &amp;N</oddFooter>
    <evenHeader/>
    <evenFooter/>
    <firstHeader/>
    <firstFooter/>
  </headerFooter>
</worksheet>
</file>

<file path=xl/worksheets/sheet7.xml><?xml version="1.0" encoding="utf-8"?>
<worksheet xmlns="http://schemas.openxmlformats.org/spreadsheetml/2006/main">
  <sheetPr>
    <tabColor rgb="005B8A6A"/>
    <outlinePr summaryBelow="1" summaryRight="1"/>
    <pageSetUpPr fitToPage="1"/>
  </sheetPr>
  <dimension ref="A1:K2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24" customWidth="1" min="3" max="3"/>
    <col width="15" customWidth="1" min="4" max="4"/>
    <col width="30" customWidth="1" min="5" max="5"/>
    <col width="24" customWidth="1" min="6" max="6"/>
    <col width="28" customWidth="1" min="7" max="7"/>
    <col width="9" customWidth="1" min="8" max="8"/>
    <col width="50" customWidth="1" min="9" max="9"/>
    <col width="36" customWidth="1" min="10" max="10"/>
    <col hidden="1" width="26" customWidth="1" min="11" max="11"/>
  </cols>
  <sheetData>
    <row r="1" ht="30" customHeight="1">
      <c r="A1" s="27" t="inlineStr">
        <is>
          <t>Title company</t>
        </is>
      </c>
      <c r="B1" s="27" t="inlineStr">
        <is>
          <t>Role</t>
        </is>
      </c>
      <c r="C1" s="27" t="inlineStr">
        <is>
          <t>Name</t>
        </is>
      </c>
      <c r="D1" s="27" t="inlineStr">
        <is>
          <t>Phone</t>
        </is>
      </c>
      <c r="E1" s="27" t="inlineStr">
        <is>
          <t>Email</t>
        </is>
      </c>
      <c r="F1" s="27" t="inlineStr">
        <is>
          <t>Other phones</t>
        </is>
      </c>
      <c r="G1" s="27" t="inlineStr">
        <is>
          <t>Other emails</t>
        </is>
      </c>
      <c r="H1" s="28" t="inlineStr">
        <is>
          <t>Always CC</t>
        </is>
      </c>
      <c r="I1" s="27" t="inlineStr">
        <is>
          <t>What they handle</t>
        </is>
      </c>
      <c r="J1" s="27" t="inlineStr">
        <is>
          <t>Notes</t>
        </is>
      </c>
      <c r="K1" s="27" t="inlineStr">
        <is>
          <t>Key (hidden, automatic)</t>
        </is>
      </c>
    </row>
    <row r="2">
      <c r="A2" s="29" t="n"/>
      <c r="B2" s="29" t="n"/>
      <c r="C2" s="29" t="n"/>
      <c r="D2" s="34" t="n"/>
      <c r="E2" s="29" t="n"/>
      <c r="F2" s="6" t="n"/>
      <c r="G2" s="6" t="n"/>
      <c r="H2" s="31" t="n"/>
      <c r="I2" s="6" t="n"/>
      <c r="J2" s="6" t="n"/>
      <c r="K2" s="17">
        <f>IF($A2="","",$A2&amp;"|"&amp;COUNTIF($A$2:$A2,$A2))</f>
        <v/>
      </c>
    </row>
    <row r="3">
      <c r="A3" s="29" t="n"/>
      <c r="B3" s="29" t="n"/>
      <c r="C3" s="29" t="n"/>
      <c r="D3" s="34" t="n"/>
      <c r="E3" s="29" t="n"/>
      <c r="F3" s="6" t="n"/>
      <c r="G3" s="6" t="n"/>
      <c r="H3" s="31" t="n"/>
      <c r="I3" s="6" t="n"/>
      <c r="J3" s="6" t="n"/>
      <c r="K3" s="17">
        <f>IF($A3="","",$A3&amp;"|"&amp;COUNTIF($A$2:$A3,$A3))</f>
        <v/>
      </c>
    </row>
    <row r="4">
      <c r="A4" s="29" t="n"/>
      <c r="B4" s="29" t="n"/>
      <c r="C4" s="29" t="n"/>
      <c r="D4" s="34" t="n"/>
      <c r="E4" s="29" t="n"/>
      <c r="F4" s="6" t="n"/>
      <c r="G4" s="6" t="n"/>
      <c r="H4" s="31" t="n"/>
      <c r="I4" s="6" t="n"/>
      <c r="J4" s="6" t="n"/>
      <c r="K4" s="17">
        <f>IF($A4="","",$A4&amp;"|"&amp;COUNTIF($A$2:$A4,$A4))</f>
        <v/>
      </c>
    </row>
    <row r="5">
      <c r="A5" s="29" t="n"/>
      <c r="B5" s="29" t="n"/>
      <c r="C5" s="29" t="n"/>
      <c r="D5" s="34" t="n"/>
      <c r="E5" s="29" t="n"/>
      <c r="F5" s="6" t="n"/>
      <c r="G5" s="6" t="n"/>
      <c r="H5" s="31" t="n"/>
      <c r="I5" s="6" t="n"/>
      <c r="J5" s="6" t="n"/>
      <c r="K5" s="17">
        <f>IF($A5="","",$A5&amp;"|"&amp;COUNTIF($A$2:$A5,$A5))</f>
        <v/>
      </c>
    </row>
    <row r="6">
      <c r="A6" s="29" t="n"/>
      <c r="B6" s="29" t="n"/>
      <c r="C6" s="29" t="n"/>
      <c r="D6" s="34" t="n"/>
      <c r="E6" s="29" t="n"/>
      <c r="F6" s="6" t="n"/>
      <c r="G6" s="6" t="n"/>
      <c r="H6" s="31" t="n"/>
      <c r="I6" s="6" t="n"/>
      <c r="J6" s="6" t="n"/>
      <c r="K6" s="17">
        <f>IF($A6="","",$A6&amp;"|"&amp;COUNTIF($A$2:$A6,$A6))</f>
        <v/>
      </c>
    </row>
    <row r="7">
      <c r="A7" s="29" t="n"/>
      <c r="B7" s="29" t="n"/>
      <c r="C7" s="29" t="n"/>
      <c r="D7" s="34" t="n"/>
      <c r="E7" s="29" t="n"/>
      <c r="F7" s="6" t="n"/>
      <c r="G7" s="6" t="n"/>
      <c r="H7" s="31" t="n"/>
      <c r="I7" s="6" t="n"/>
      <c r="J7" s="6" t="n"/>
      <c r="K7" s="17">
        <f>IF($A7="","",$A7&amp;"|"&amp;COUNTIF($A$2:$A7,$A7))</f>
        <v/>
      </c>
    </row>
    <row r="8">
      <c r="A8" s="29" t="n"/>
      <c r="B8" s="29" t="n"/>
      <c r="C8" s="29" t="n"/>
      <c r="D8" s="34" t="n"/>
      <c r="E8" s="29" t="n"/>
      <c r="F8" s="6" t="n"/>
      <c r="G8" s="6" t="n"/>
      <c r="H8" s="31" t="n"/>
      <c r="I8" s="6" t="n"/>
      <c r="J8" s="6" t="n"/>
      <c r="K8" s="17">
        <f>IF($A8="","",$A8&amp;"|"&amp;COUNTIF($A$2:$A8,$A8))</f>
        <v/>
      </c>
    </row>
    <row r="9">
      <c r="A9" s="29" t="n"/>
      <c r="B9" s="29" t="n"/>
      <c r="C9" s="29" t="n"/>
      <c r="D9" s="34" t="n"/>
      <c r="E9" s="29" t="n"/>
      <c r="F9" s="6" t="n"/>
      <c r="G9" s="6" t="n"/>
      <c r="H9" s="31" t="n"/>
      <c r="I9" s="6" t="n"/>
      <c r="J9" s="6" t="n"/>
      <c r="K9" s="17">
        <f>IF($A9="","",$A9&amp;"|"&amp;COUNTIF($A$2:$A9,$A9))</f>
        <v/>
      </c>
    </row>
    <row r="10">
      <c r="A10" s="29" t="n"/>
      <c r="B10" s="29" t="n"/>
      <c r="C10" s="29" t="n"/>
      <c r="D10" s="34" t="n"/>
      <c r="E10" s="29" t="n"/>
      <c r="F10" s="6" t="n"/>
      <c r="G10" s="6" t="n"/>
      <c r="H10" s="31" t="n"/>
      <c r="I10" s="6" t="n"/>
      <c r="J10" s="6" t="n"/>
      <c r="K10" s="17">
        <f>IF($A10="","",$A10&amp;"|"&amp;COUNTIF($A$2:$A10,$A10))</f>
        <v/>
      </c>
    </row>
    <row r="11">
      <c r="A11" s="29" t="n"/>
      <c r="B11" s="29" t="n"/>
      <c r="C11" s="29" t="n"/>
      <c r="D11" s="34" t="n"/>
      <c r="E11" s="29" t="n"/>
      <c r="F11" s="6" t="n"/>
      <c r="G11" s="6" t="n"/>
      <c r="H11" s="31" t="n"/>
      <c r="I11" s="6" t="n"/>
      <c r="J11" s="6" t="n"/>
      <c r="K11" s="17">
        <f>IF($A11="","",$A11&amp;"|"&amp;COUNTIF($A$2:$A11,$A11))</f>
        <v/>
      </c>
    </row>
    <row r="12">
      <c r="A12" s="29" t="n"/>
      <c r="B12" s="29" t="n"/>
      <c r="C12" s="29" t="n"/>
      <c r="D12" s="34" t="n"/>
      <c r="E12" s="29" t="n"/>
      <c r="F12" s="6" t="n"/>
      <c r="G12" s="6" t="n"/>
      <c r="H12" s="31" t="n"/>
      <c r="I12" s="6" t="n"/>
      <c r="J12" s="6" t="n"/>
      <c r="K12" s="17">
        <f>IF($A12="","",$A12&amp;"|"&amp;COUNTIF($A$2:$A12,$A12))</f>
        <v/>
      </c>
    </row>
    <row r="13">
      <c r="A13" s="29" t="n"/>
      <c r="B13" s="29" t="n"/>
      <c r="C13" s="29" t="n"/>
      <c r="D13" s="34" t="n"/>
      <c r="E13" s="29" t="n"/>
      <c r="F13" s="6" t="n"/>
      <c r="G13" s="6" t="n"/>
      <c r="H13" s="31" t="n"/>
      <c r="I13" s="6" t="n"/>
      <c r="J13" s="6" t="n"/>
      <c r="K13" s="17">
        <f>IF($A13="","",$A13&amp;"|"&amp;COUNTIF($A$2:$A13,$A13))</f>
        <v/>
      </c>
    </row>
    <row r="14">
      <c r="A14" s="29" t="n"/>
      <c r="B14" s="29" t="n"/>
      <c r="C14" s="29" t="n"/>
      <c r="D14" s="34" t="n"/>
      <c r="E14" s="29" t="n"/>
      <c r="F14" s="6" t="n"/>
      <c r="G14" s="6" t="n"/>
      <c r="H14" s="31" t="n"/>
      <c r="I14" s="6" t="n"/>
      <c r="J14" s="6" t="n"/>
      <c r="K14" s="17">
        <f>IF($A14="","",$A14&amp;"|"&amp;COUNTIF($A$2:$A14,$A14))</f>
        <v/>
      </c>
    </row>
    <row r="15">
      <c r="A15" s="29" t="n"/>
      <c r="B15" s="29" t="n"/>
      <c r="C15" s="29" t="n"/>
      <c r="D15" s="34" t="n"/>
      <c r="E15" s="29" t="n"/>
      <c r="F15" s="6" t="n"/>
      <c r="G15" s="6" t="n"/>
      <c r="H15" s="31" t="n"/>
      <c r="I15" s="6" t="n"/>
      <c r="J15" s="6" t="n"/>
      <c r="K15" s="17">
        <f>IF($A15="","",$A15&amp;"|"&amp;COUNTIF($A$2:$A15,$A15))</f>
        <v/>
      </c>
    </row>
    <row r="16">
      <c r="A16" s="29" t="n"/>
      <c r="B16" s="29" t="n"/>
      <c r="C16" s="29" t="n"/>
      <c r="D16" s="34" t="n"/>
      <c r="E16" s="29" t="n"/>
      <c r="F16" s="6" t="n"/>
      <c r="G16" s="6" t="n"/>
      <c r="H16" s="31" t="n"/>
      <c r="I16" s="6" t="n"/>
      <c r="J16" s="6" t="n"/>
      <c r="K16" s="17">
        <f>IF($A16="","",$A16&amp;"|"&amp;COUNTIF($A$2:$A16,$A16))</f>
        <v/>
      </c>
    </row>
    <row r="17">
      <c r="A17" s="29" t="n"/>
      <c r="B17" s="29" t="n"/>
      <c r="C17" s="29" t="n"/>
      <c r="D17" s="34" t="n"/>
      <c r="E17" s="29" t="n"/>
      <c r="F17" s="6" t="n"/>
      <c r="G17" s="6" t="n"/>
      <c r="H17" s="31" t="n"/>
      <c r="I17" s="6" t="n"/>
      <c r="J17" s="6" t="n"/>
      <c r="K17" s="17">
        <f>IF($A17="","",$A17&amp;"|"&amp;COUNTIF($A$2:$A17,$A17))</f>
        <v/>
      </c>
    </row>
    <row r="18">
      <c r="A18" s="29" t="n"/>
      <c r="B18" s="29" t="n"/>
      <c r="C18" s="29" t="n"/>
      <c r="D18" s="34" t="n"/>
      <c r="E18" s="29" t="n"/>
      <c r="F18" s="6" t="n"/>
      <c r="G18" s="6" t="n"/>
      <c r="H18" s="31" t="n"/>
      <c r="I18" s="6" t="n"/>
      <c r="J18" s="6" t="n"/>
      <c r="K18" s="17">
        <f>IF($A18="","",$A18&amp;"|"&amp;COUNTIF($A$2:$A18,$A18))</f>
        <v/>
      </c>
    </row>
    <row r="19">
      <c r="A19" s="29" t="n"/>
      <c r="B19" s="29" t="n"/>
      <c r="C19" s="29" t="n"/>
      <c r="D19" s="34" t="n"/>
      <c r="E19" s="29" t="n"/>
      <c r="F19" s="6" t="n"/>
      <c r="G19" s="6" t="n"/>
      <c r="H19" s="31" t="n"/>
      <c r="I19" s="6" t="n"/>
      <c r="J19" s="6" t="n"/>
      <c r="K19" s="17">
        <f>IF($A19="","",$A19&amp;"|"&amp;COUNTIF($A$2:$A19,$A19))</f>
        <v/>
      </c>
    </row>
    <row r="20">
      <c r="A20" s="29" t="n"/>
      <c r="B20" s="29" t="n"/>
      <c r="C20" s="29" t="n"/>
      <c r="D20" s="34" t="n"/>
      <c r="E20" s="29" t="n"/>
      <c r="F20" s="6" t="n"/>
      <c r="G20" s="6" t="n"/>
      <c r="H20" s="31" t="n"/>
      <c r="I20" s="6" t="n"/>
      <c r="J20" s="6" t="n"/>
      <c r="K20" s="17">
        <f>IF($A20="","",$A20&amp;"|"&amp;COUNTIF($A$2:$A20,$A20))</f>
        <v/>
      </c>
    </row>
    <row r="21">
      <c r="A21" s="29" t="n"/>
      <c r="B21" s="29" t="n"/>
      <c r="C21" s="29" t="n"/>
      <c r="D21" s="34" t="n"/>
      <c r="E21" s="29" t="n"/>
      <c r="F21" s="6" t="n"/>
      <c r="G21" s="6" t="n"/>
      <c r="H21" s="31" t="n"/>
      <c r="I21" s="6" t="n"/>
      <c r="J21" s="6" t="n"/>
      <c r="K21" s="17">
        <f>IF($A21="","",$A21&amp;"|"&amp;COUNTIF($A$2:$A21,$A21))</f>
        <v/>
      </c>
    </row>
    <row r="22">
      <c r="A22" s="29" t="n"/>
      <c r="B22" s="29" t="n"/>
      <c r="C22" s="29" t="n"/>
      <c r="D22" s="34" t="n"/>
      <c r="E22" s="29" t="n"/>
      <c r="F22" s="6" t="n"/>
      <c r="G22" s="6" t="n"/>
      <c r="H22" s="31" t="n"/>
      <c r="I22" s="6" t="n"/>
      <c r="J22" s="6" t="n"/>
      <c r="K22" s="17">
        <f>IF($A22="","",$A22&amp;"|"&amp;COUNTIF($A$2:$A22,$A22))</f>
        <v/>
      </c>
    </row>
    <row r="23">
      <c r="A23" s="29" t="n"/>
      <c r="B23" s="29" t="n"/>
      <c r="C23" s="29" t="n"/>
      <c r="D23" s="34" t="n"/>
      <c r="E23" s="29" t="n"/>
      <c r="F23" s="6" t="n"/>
      <c r="G23" s="6" t="n"/>
      <c r="H23" s="31" t="n"/>
      <c r="I23" s="6" t="n"/>
      <c r="J23" s="6" t="n"/>
      <c r="K23" s="17">
        <f>IF($A23="","",$A23&amp;"|"&amp;COUNTIF($A$2:$A23,$A23))</f>
        <v/>
      </c>
    </row>
    <row r="24">
      <c r="A24" s="29" t="n"/>
      <c r="B24" s="29" t="n"/>
      <c r="C24" s="29" t="n"/>
      <c r="D24" s="34" t="n"/>
      <c r="E24" s="29" t="n"/>
      <c r="F24" s="6" t="n"/>
      <c r="G24" s="6" t="n"/>
      <c r="H24" s="31" t="n"/>
      <c r="I24" s="6" t="n"/>
      <c r="J24" s="6" t="n"/>
      <c r="K24" s="17">
        <f>IF($A24="","",$A24&amp;"|"&amp;COUNTIF($A$2:$A24,$A24))</f>
        <v/>
      </c>
    </row>
    <row r="25">
      <c r="A25" s="29" t="n"/>
      <c r="B25" s="29" t="n"/>
      <c r="C25" s="29" t="n"/>
      <c r="D25" s="34" t="n"/>
      <c r="E25" s="29" t="n"/>
      <c r="F25" s="6" t="n"/>
      <c r="G25" s="6" t="n"/>
      <c r="H25" s="31" t="n"/>
      <c r="I25" s="6" t="n"/>
      <c r="J25" s="6" t="n"/>
      <c r="K25" s="17">
        <f>IF($A25="","",$A25&amp;"|"&amp;COUNTIF($A$2:$A25,$A25))</f>
        <v/>
      </c>
    </row>
    <row r="26">
      <c r="A26" s="29" t="n"/>
      <c r="B26" s="29" t="n"/>
      <c r="C26" s="29" t="n"/>
      <c r="D26" s="34" t="n"/>
      <c r="E26" s="29" t="n"/>
      <c r="F26" s="6" t="n"/>
      <c r="G26" s="6" t="n"/>
      <c r="H26" s="31" t="n"/>
      <c r="I26" s="6" t="n"/>
      <c r="J26" s="6" t="n"/>
      <c r="K26" s="17">
        <f>IF($A26="","",$A26&amp;"|"&amp;COUNTIF($A$2:$A26,$A26))</f>
        <v/>
      </c>
    </row>
    <row r="27">
      <c r="A27" s="29" t="n"/>
      <c r="B27" s="29" t="n"/>
      <c r="C27" s="29" t="n"/>
      <c r="D27" s="34" t="n"/>
      <c r="E27" s="29" t="n"/>
      <c r="F27" s="6" t="n"/>
      <c r="G27" s="6" t="n"/>
      <c r="H27" s="31" t="n"/>
      <c r="I27" s="6" t="n"/>
      <c r="J27" s="6" t="n"/>
      <c r="K27" s="17">
        <f>IF($A27="","",$A27&amp;"|"&amp;COUNTIF($A$2:$A27,$A27))</f>
        <v/>
      </c>
    </row>
    <row r="28">
      <c r="A28" s="29" t="n"/>
      <c r="B28" s="29" t="n"/>
      <c r="C28" s="29" t="n"/>
      <c r="D28" s="34" t="n"/>
      <c r="E28" s="29" t="n"/>
      <c r="F28" s="6" t="n"/>
      <c r="G28" s="6" t="n"/>
      <c r="H28" s="31" t="n"/>
      <c r="I28" s="6" t="n"/>
      <c r="J28" s="6" t="n"/>
      <c r="K28" s="17">
        <f>IF($A28="","",$A28&amp;"|"&amp;COUNTIF($A$2:$A28,$A28))</f>
        <v/>
      </c>
    </row>
    <row r="29">
      <c r="A29" s="29" t="n"/>
      <c r="B29" s="29" t="n"/>
      <c r="C29" s="29" t="n"/>
      <c r="D29" s="34" t="n"/>
      <c r="E29" s="29" t="n"/>
      <c r="F29" s="6" t="n"/>
      <c r="G29" s="6" t="n"/>
      <c r="H29" s="31" t="n"/>
      <c r="I29" s="6" t="n"/>
      <c r="J29" s="6" t="n"/>
      <c r="K29" s="17">
        <f>IF($A29="","",$A29&amp;"|"&amp;COUNTIF($A$2:$A29,$A29))</f>
        <v/>
      </c>
    </row>
    <row r="30">
      <c r="A30" s="29" t="n"/>
      <c r="B30" s="29" t="n"/>
      <c r="C30" s="29" t="n"/>
      <c r="D30" s="34" t="n"/>
      <c r="E30" s="29" t="n"/>
      <c r="F30" s="6" t="n"/>
      <c r="G30" s="6" t="n"/>
      <c r="H30" s="31" t="n"/>
      <c r="I30" s="6" t="n"/>
      <c r="J30" s="6" t="n"/>
      <c r="K30" s="17">
        <f>IF($A30="","",$A30&amp;"|"&amp;COUNTIF($A$2:$A30,$A30))</f>
        <v/>
      </c>
    </row>
    <row r="31">
      <c r="A31" s="29" t="n"/>
      <c r="B31" s="29" t="n"/>
      <c r="C31" s="29" t="n"/>
      <c r="D31" s="34" t="n"/>
      <c r="E31" s="29" t="n"/>
      <c r="F31" s="6" t="n"/>
      <c r="G31" s="6" t="n"/>
      <c r="H31" s="31" t="n"/>
      <c r="I31" s="6" t="n"/>
      <c r="J31" s="6" t="n"/>
      <c r="K31" s="17">
        <f>IF($A31="","",$A31&amp;"|"&amp;COUNTIF($A$2:$A31,$A31))</f>
        <v/>
      </c>
    </row>
    <row r="32">
      <c r="A32" s="29" t="n"/>
      <c r="B32" s="29" t="n"/>
      <c r="C32" s="29" t="n"/>
      <c r="D32" s="34" t="n"/>
      <c r="E32" s="29" t="n"/>
      <c r="F32" s="6" t="n"/>
      <c r="G32" s="6" t="n"/>
      <c r="H32" s="31" t="n"/>
      <c r="I32" s="6" t="n"/>
      <c r="J32" s="6" t="n"/>
      <c r="K32" s="17">
        <f>IF($A32="","",$A32&amp;"|"&amp;COUNTIF($A$2:$A32,$A32))</f>
        <v/>
      </c>
    </row>
    <row r="33">
      <c r="A33" s="29" t="n"/>
      <c r="B33" s="29" t="n"/>
      <c r="C33" s="29" t="n"/>
      <c r="D33" s="34" t="n"/>
      <c r="E33" s="29" t="n"/>
      <c r="F33" s="6" t="n"/>
      <c r="G33" s="6" t="n"/>
      <c r="H33" s="31" t="n"/>
      <c r="I33" s="6" t="n"/>
      <c r="J33" s="6" t="n"/>
      <c r="K33" s="17">
        <f>IF($A33="","",$A33&amp;"|"&amp;COUNTIF($A$2:$A33,$A33))</f>
        <v/>
      </c>
    </row>
    <row r="34">
      <c r="A34" s="29" t="n"/>
      <c r="B34" s="29" t="n"/>
      <c r="C34" s="29" t="n"/>
      <c r="D34" s="34" t="n"/>
      <c r="E34" s="29" t="n"/>
      <c r="F34" s="6" t="n"/>
      <c r="G34" s="6" t="n"/>
      <c r="H34" s="31" t="n"/>
      <c r="I34" s="6" t="n"/>
      <c r="J34" s="6" t="n"/>
      <c r="K34" s="17">
        <f>IF($A34="","",$A34&amp;"|"&amp;COUNTIF($A$2:$A34,$A34))</f>
        <v/>
      </c>
    </row>
    <row r="35">
      <c r="A35" s="29" t="n"/>
      <c r="B35" s="29" t="n"/>
      <c r="C35" s="29" t="n"/>
      <c r="D35" s="34" t="n"/>
      <c r="E35" s="29" t="n"/>
      <c r="F35" s="6" t="n"/>
      <c r="G35" s="6" t="n"/>
      <c r="H35" s="31" t="n"/>
      <c r="I35" s="6" t="n"/>
      <c r="J35" s="6" t="n"/>
      <c r="K35" s="17">
        <f>IF($A35="","",$A35&amp;"|"&amp;COUNTIF($A$2:$A35,$A35))</f>
        <v/>
      </c>
    </row>
    <row r="36">
      <c r="A36" s="29" t="n"/>
      <c r="B36" s="29" t="n"/>
      <c r="C36" s="29" t="n"/>
      <c r="D36" s="34" t="n"/>
      <c r="E36" s="29" t="n"/>
      <c r="F36" s="6" t="n"/>
      <c r="G36" s="6" t="n"/>
      <c r="H36" s="31" t="n"/>
      <c r="I36" s="6" t="n"/>
      <c r="J36" s="6" t="n"/>
      <c r="K36" s="17">
        <f>IF($A36="","",$A36&amp;"|"&amp;COUNTIF($A$2:$A36,$A36))</f>
        <v/>
      </c>
    </row>
    <row r="37">
      <c r="A37" s="29" t="n"/>
      <c r="B37" s="29" t="n"/>
      <c r="C37" s="29" t="n"/>
      <c r="D37" s="34" t="n"/>
      <c r="E37" s="29" t="n"/>
      <c r="F37" s="6" t="n"/>
      <c r="G37" s="6" t="n"/>
      <c r="H37" s="31" t="n"/>
      <c r="I37" s="6" t="n"/>
      <c r="J37" s="6" t="n"/>
      <c r="K37" s="17">
        <f>IF($A37="","",$A37&amp;"|"&amp;COUNTIF($A$2:$A37,$A37))</f>
        <v/>
      </c>
    </row>
    <row r="38">
      <c r="A38" s="29" t="n"/>
      <c r="B38" s="29" t="n"/>
      <c r="C38" s="29" t="n"/>
      <c r="D38" s="34" t="n"/>
      <c r="E38" s="29" t="n"/>
      <c r="F38" s="6" t="n"/>
      <c r="G38" s="6" t="n"/>
      <c r="H38" s="31" t="n"/>
      <c r="I38" s="6" t="n"/>
      <c r="J38" s="6" t="n"/>
      <c r="K38" s="17">
        <f>IF($A38="","",$A38&amp;"|"&amp;COUNTIF($A$2:$A38,$A38))</f>
        <v/>
      </c>
    </row>
    <row r="39">
      <c r="A39" s="29" t="n"/>
      <c r="B39" s="29" t="n"/>
      <c r="C39" s="29" t="n"/>
      <c r="D39" s="34" t="n"/>
      <c r="E39" s="29" t="n"/>
      <c r="F39" s="6" t="n"/>
      <c r="G39" s="6" t="n"/>
      <c r="H39" s="31" t="n"/>
      <c r="I39" s="6" t="n"/>
      <c r="J39" s="6" t="n"/>
      <c r="K39" s="17">
        <f>IF($A39="","",$A39&amp;"|"&amp;COUNTIF($A$2:$A39,$A39))</f>
        <v/>
      </c>
    </row>
    <row r="40">
      <c r="A40" s="29" t="n"/>
      <c r="B40" s="29" t="n"/>
      <c r="C40" s="29" t="n"/>
      <c r="D40" s="34" t="n"/>
      <c r="E40" s="29" t="n"/>
      <c r="F40" s="6" t="n"/>
      <c r="G40" s="6" t="n"/>
      <c r="H40" s="31" t="n"/>
      <c r="I40" s="6" t="n"/>
      <c r="J40" s="6" t="n"/>
      <c r="K40" s="17">
        <f>IF($A40="","",$A40&amp;"|"&amp;COUNTIF($A$2:$A40,$A40))</f>
        <v/>
      </c>
    </row>
    <row r="41">
      <c r="A41" s="29" t="n"/>
      <c r="B41" s="29" t="n"/>
      <c r="C41" s="29" t="n"/>
      <c r="D41" s="34" t="n"/>
      <c r="E41" s="29" t="n"/>
      <c r="F41" s="6" t="n"/>
      <c r="G41" s="6" t="n"/>
      <c r="H41" s="31" t="n"/>
      <c r="I41" s="6" t="n"/>
      <c r="J41" s="6" t="n"/>
      <c r="K41" s="17">
        <f>IF($A41="","",$A41&amp;"|"&amp;COUNTIF($A$2:$A41,$A41))</f>
        <v/>
      </c>
    </row>
    <row r="42">
      <c r="A42" s="29" t="n"/>
      <c r="B42" s="29" t="n"/>
      <c r="C42" s="29" t="n"/>
      <c r="D42" s="34" t="n"/>
      <c r="E42" s="29" t="n"/>
      <c r="F42" s="6" t="n"/>
      <c r="G42" s="6" t="n"/>
      <c r="H42" s="31" t="n"/>
      <c r="I42" s="6" t="n"/>
      <c r="J42" s="6" t="n"/>
      <c r="K42" s="17">
        <f>IF($A42="","",$A42&amp;"|"&amp;COUNTIF($A$2:$A42,$A42))</f>
        <v/>
      </c>
    </row>
    <row r="43">
      <c r="A43" s="29" t="n"/>
      <c r="B43" s="29" t="n"/>
      <c r="C43" s="29" t="n"/>
      <c r="D43" s="34" t="n"/>
      <c r="E43" s="29" t="n"/>
      <c r="F43" s="6" t="n"/>
      <c r="G43" s="6" t="n"/>
      <c r="H43" s="31" t="n"/>
      <c r="I43" s="6" t="n"/>
      <c r="J43" s="6" t="n"/>
      <c r="K43" s="17">
        <f>IF($A43="","",$A43&amp;"|"&amp;COUNTIF($A$2:$A43,$A43))</f>
        <v/>
      </c>
    </row>
    <row r="44">
      <c r="A44" s="29" t="n"/>
      <c r="B44" s="29" t="n"/>
      <c r="C44" s="29" t="n"/>
      <c r="D44" s="34" t="n"/>
      <c r="E44" s="29" t="n"/>
      <c r="F44" s="6" t="n"/>
      <c r="G44" s="6" t="n"/>
      <c r="H44" s="31" t="n"/>
      <c r="I44" s="6" t="n"/>
      <c r="J44" s="6" t="n"/>
      <c r="K44" s="17">
        <f>IF($A44="","",$A44&amp;"|"&amp;COUNTIF($A$2:$A44,$A44))</f>
        <v/>
      </c>
    </row>
    <row r="45">
      <c r="A45" s="29" t="n"/>
      <c r="B45" s="29" t="n"/>
      <c r="C45" s="29" t="n"/>
      <c r="D45" s="34" t="n"/>
      <c r="E45" s="29" t="n"/>
      <c r="F45" s="6" t="n"/>
      <c r="G45" s="6" t="n"/>
      <c r="H45" s="31" t="n"/>
      <c r="I45" s="6" t="n"/>
      <c r="J45" s="6" t="n"/>
      <c r="K45" s="17">
        <f>IF($A45="","",$A45&amp;"|"&amp;COUNTIF($A$2:$A45,$A45))</f>
        <v/>
      </c>
    </row>
    <row r="46">
      <c r="A46" s="29" t="n"/>
      <c r="B46" s="29" t="n"/>
      <c r="C46" s="29" t="n"/>
      <c r="D46" s="34" t="n"/>
      <c r="E46" s="29" t="n"/>
      <c r="F46" s="6" t="n"/>
      <c r="G46" s="6" t="n"/>
      <c r="H46" s="31" t="n"/>
      <c r="I46" s="6" t="n"/>
      <c r="J46" s="6" t="n"/>
      <c r="K46" s="17">
        <f>IF($A46="","",$A46&amp;"|"&amp;COUNTIF($A$2:$A46,$A46))</f>
        <v/>
      </c>
    </row>
    <row r="47">
      <c r="A47" s="29" t="n"/>
      <c r="B47" s="29" t="n"/>
      <c r="C47" s="29" t="n"/>
      <c r="D47" s="34" t="n"/>
      <c r="E47" s="29" t="n"/>
      <c r="F47" s="6" t="n"/>
      <c r="G47" s="6" t="n"/>
      <c r="H47" s="31" t="n"/>
      <c r="I47" s="6" t="n"/>
      <c r="J47" s="6" t="n"/>
      <c r="K47" s="17">
        <f>IF($A47="","",$A47&amp;"|"&amp;COUNTIF($A$2:$A47,$A47))</f>
        <v/>
      </c>
    </row>
    <row r="48">
      <c r="A48" s="29" t="n"/>
      <c r="B48" s="29" t="n"/>
      <c r="C48" s="29" t="n"/>
      <c r="D48" s="34" t="n"/>
      <c r="E48" s="29" t="n"/>
      <c r="F48" s="6" t="n"/>
      <c r="G48" s="6" t="n"/>
      <c r="H48" s="31" t="n"/>
      <c r="I48" s="6" t="n"/>
      <c r="J48" s="6" t="n"/>
      <c r="K48" s="17">
        <f>IF($A48="","",$A48&amp;"|"&amp;COUNTIF($A$2:$A48,$A48))</f>
        <v/>
      </c>
    </row>
    <row r="49">
      <c r="A49" s="29" t="n"/>
      <c r="B49" s="29" t="n"/>
      <c r="C49" s="29" t="n"/>
      <c r="D49" s="34" t="n"/>
      <c r="E49" s="29" t="n"/>
      <c r="F49" s="6" t="n"/>
      <c r="G49" s="6" t="n"/>
      <c r="H49" s="31" t="n"/>
      <c r="I49" s="6" t="n"/>
      <c r="J49" s="6" t="n"/>
      <c r="K49" s="17">
        <f>IF($A49="","",$A49&amp;"|"&amp;COUNTIF($A$2:$A49,$A49))</f>
        <v/>
      </c>
    </row>
    <row r="50">
      <c r="A50" s="29" t="n"/>
      <c r="B50" s="29" t="n"/>
      <c r="C50" s="29" t="n"/>
      <c r="D50" s="34" t="n"/>
      <c r="E50" s="29" t="n"/>
      <c r="F50" s="6" t="n"/>
      <c r="G50" s="6" t="n"/>
      <c r="H50" s="31" t="n"/>
      <c r="I50" s="6" t="n"/>
      <c r="J50" s="6" t="n"/>
      <c r="K50" s="17">
        <f>IF($A50="","",$A50&amp;"|"&amp;COUNTIF($A$2:$A50,$A50))</f>
        <v/>
      </c>
    </row>
    <row r="51">
      <c r="A51" s="29" t="n"/>
      <c r="B51" s="29" t="n"/>
      <c r="C51" s="29" t="n"/>
      <c r="D51" s="34" t="n"/>
      <c r="E51" s="29" t="n"/>
      <c r="F51" s="6" t="n"/>
      <c r="G51" s="6" t="n"/>
      <c r="H51" s="31" t="n"/>
      <c r="I51" s="6" t="n"/>
      <c r="J51" s="6" t="n"/>
      <c r="K51" s="17">
        <f>IF($A51="","",$A51&amp;"|"&amp;COUNTIF($A$2:$A51,$A51))</f>
        <v/>
      </c>
    </row>
    <row r="52">
      <c r="A52" s="29" t="n"/>
      <c r="B52" s="29" t="n"/>
      <c r="C52" s="29" t="n"/>
      <c r="D52" s="34" t="n"/>
      <c r="E52" s="29" t="n"/>
      <c r="F52" s="6" t="n"/>
      <c r="G52" s="6" t="n"/>
      <c r="H52" s="31" t="n"/>
      <c r="I52" s="6" t="n"/>
      <c r="J52" s="6" t="n"/>
      <c r="K52" s="17">
        <f>IF($A52="","",$A52&amp;"|"&amp;COUNTIF($A$2:$A52,$A52))</f>
        <v/>
      </c>
    </row>
    <row r="53">
      <c r="A53" s="29" t="n"/>
      <c r="B53" s="29" t="n"/>
      <c r="C53" s="29" t="n"/>
      <c r="D53" s="34" t="n"/>
      <c r="E53" s="29" t="n"/>
      <c r="F53" s="6" t="n"/>
      <c r="G53" s="6" t="n"/>
      <c r="H53" s="31" t="n"/>
      <c r="I53" s="6" t="n"/>
      <c r="J53" s="6" t="n"/>
      <c r="K53" s="17">
        <f>IF($A53="","",$A53&amp;"|"&amp;COUNTIF($A$2:$A53,$A53))</f>
        <v/>
      </c>
    </row>
    <row r="54">
      <c r="A54" s="29" t="n"/>
      <c r="B54" s="29" t="n"/>
      <c r="C54" s="29" t="n"/>
      <c r="D54" s="34" t="n"/>
      <c r="E54" s="29" t="n"/>
      <c r="F54" s="6" t="n"/>
      <c r="G54" s="6" t="n"/>
      <c r="H54" s="31" t="n"/>
      <c r="I54" s="6" t="n"/>
      <c r="J54" s="6" t="n"/>
      <c r="K54" s="17">
        <f>IF($A54="","",$A54&amp;"|"&amp;COUNTIF($A$2:$A54,$A54))</f>
        <v/>
      </c>
    </row>
    <row r="55">
      <c r="A55" s="29" t="n"/>
      <c r="B55" s="29" t="n"/>
      <c r="C55" s="29" t="n"/>
      <c r="D55" s="34" t="n"/>
      <c r="E55" s="29" t="n"/>
      <c r="F55" s="6" t="n"/>
      <c r="G55" s="6" t="n"/>
      <c r="H55" s="31" t="n"/>
      <c r="I55" s="6" t="n"/>
      <c r="J55" s="6" t="n"/>
      <c r="K55" s="17">
        <f>IF($A55="","",$A55&amp;"|"&amp;COUNTIF($A$2:$A55,$A55))</f>
        <v/>
      </c>
    </row>
    <row r="56">
      <c r="A56" s="29" t="n"/>
      <c r="B56" s="29" t="n"/>
      <c r="C56" s="29" t="n"/>
      <c r="D56" s="34" t="n"/>
      <c r="E56" s="29" t="n"/>
      <c r="F56" s="6" t="n"/>
      <c r="G56" s="6" t="n"/>
      <c r="H56" s="31" t="n"/>
      <c r="I56" s="6" t="n"/>
      <c r="J56" s="6" t="n"/>
      <c r="K56" s="17">
        <f>IF($A56="","",$A56&amp;"|"&amp;COUNTIF($A$2:$A56,$A56))</f>
        <v/>
      </c>
    </row>
    <row r="57">
      <c r="A57" s="29" t="n"/>
      <c r="B57" s="29" t="n"/>
      <c r="C57" s="29" t="n"/>
      <c r="D57" s="34" t="n"/>
      <c r="E57" s="29" t="n"/>
      <c r="F57" s="6" t="n"/>
      <c r="G57" s="6" t="n"/>
      <c r="H57" s="31" t="n"/>
      <c r="I57" s="6" t="n"/>
      <c r="J57" s="6" t="n"/>
      <c r="K57" s="17">
        <f>IF($A57="","",$A57&amp;"|"&amp;COUNTIF($A$2:$A57,$A57))</f>
        <v/>
      </c>
    </row>
    <row r="58">
      <c r="A58" s="29" t="n"/>
      <c r="B58" s="29" t="n"/>
      <c r="C58" s="29" t="n"/>
      <c r="D58" s="34" t="n"/>
      <c r="E58" s="29" t="n"/>
      <c r="F58" s="6" t="n"/>
      <c r="G58" s="6" t="n"/>
      <c r="H58" s="31" t="n"/>
      <c r="I58" s="6" t="n"/>
      <c r="J58" s="6" t="n"/>
      <c r="K58" s="17">
        <f>IF($A58="","",$A58&amp;"|"&amp;COUNTIF($A$2:$A58,$A58))</f>
        <v/>
      </c>
    </row>
    <row r="59">
      <c r="A59" s="29" t="n"/>
      <c r="B59" s="29" t="n"/>
      <c r="C59" s="29" t="n"/>
      <c r="D59" s="34" t="n"/>
      <c r="E59" s="29" t="n"/>
      <c r="F59" s="6" t="n"/>
      <c r="G59" s="6" t="n"/>
      <c r="H59" s="31" t="n"/>
      <c r="I59" s="6" t="n"/>
      <c r="J59" s="6" t="n"/>
      <c r="K59" s="17">
        <f>IF($A59="","",$A59&amp;"|"&amp;COUNTIF($A$2:$A59,$A59))</f>
        <v/>
      </c>
    </row>
    <row r="60">
      <c r="A60" s="29" t="n"/>
      <c r="B60" s="29" t="n"/>
      <c r="C60" s="29" t="n"/>
      <c r="D60" s="34" t="n"/>
      <c r="E60" s="29" t="n"/>
      <c r="F60" s="6" t="n"/>
      <c r="G60" s="6" t="n"/>
      <c r="H60" s="31" t="n"/>
      <c r="I60" s="6" t="n"/>
      <c r="J60" s="6" t="n"/>
      <c r="K60" s="17">
        <f>IF($A60="","",$A60&amp;"|"&amp;COUNTIF($A$2:$A60,$A60))</f>
        <v/>
      </c>
    </row>
    <row r="61">
      <c r="A61" s="29" t="n"/>
      <c r="B61" s="29" t="n"/>
      <c r="C61" s="29" t="n"/>
      <c r="D61" s="34" t="n"/>
      <c r="E61" s="29" t="n"/>
      <c r="F61" s="6" t="n"/>
      <c r="G61" s="6" t="n"/>
      <c r="H61" s="31" t="n"/>
      <c r="I61" s="6" t="n"/>
      <c r="J61" s="6" t="n"/>
      <c r="K61" s="17">
        <f>IF($A61="","",$A61&amp;"|"&amp;COUNTIF($A$2:$A61,$A61))</f>
        <v/>
      </c>
    </row>
    <row r="62">
      <c r="A62" s="29" t="n"/>
      <c r="B62" s="29" t="n"/>
      <c r="C62" s="29" t="n"/>
      <c r="D62" s="34" t="n"/>
      <c r="E62" s="29" t="n"/>
      <c r="F62" s="6" t="n"/>
      <c r="G62" s="6" t="n"/>
      <c r="H62" s="31" t="n"/>
      <c r="I62" s="6" t="n"/>
      <c r="J62" s="6" t="n"/>
      <c r="K62" s="17">
        <f>IF($A62="","",$A62&amp;"|"&amp;COUNTIF($A$2:$A62,$A62))</f>
        <v/>
      </c>
    </row>
    <row r="63">
      <c r="A63" s="29" t="n"/>
      <c r="B63" s="29" t="n"/>
      <c r="C63" s="29" t="n"/>
      <c r="D63" s="34" t="n"/>
      <c r="E63" s="29" t="n"/>
      <c r="F63" s="6" t="n"/>
      <c r="G63" s="6" t="n"/>
      <c r="H63" s="31" t="n"/>
      <c r="I63" s="6" t="n"/>
      <c r="J63" s="6" t="n"/>
      <c r="K63" s="17">
        <f>IF($A63="","",$A63&amp;"|"&amp;COUNTIF($A$2:$A63,$A63))</f>
        <v/>
      </c>
    </row>
    <row r="64">
      <c r="A64" s="29" t="n"/>
      <c r="B64" s="29" t="n"/>
      <c r="C64" s="29" t="n"/>
      <c r="D64" s="34" t="n"/>
      <c r="E64" s="29" t="n"/>
      <c r="F64" s="6" t="n"/>
      <c r="G64" s="6" t="n"/>
      <c r="H64" s="31" t="n"/>
      <c r="I64" s="6" t="n"/>
      <c r="J64" s="6" t="n"/>
      <c r="K64" s="17">
        <f>IF($A64="","",$A64&amp;"|"&amp;COUNTIF($A$2:$A64,$A64))</f>
        <v/>
      </c>
    </row>
    <row r="65">
      <c r="A65" s="29" t="n"/>
      <c r="B65" s="29" t="n"/>
      <c r="C65" s="29" t="n"/>
      <c r="D65" s="34" t="n"/>
      <c r="E65" s="29" t="n"/>
      <c r="F65" s="6" t="n"/>
      <c r="G65" s="6" t="n"/>
      <c r="H65" s="31" t="n"/>
      <c r="I65" s="6" t="n"/>
      <c r="J65" s="6" t="n"/>
      <c r="K65" s="17">
        <f>IF($A65="","",$A65&amp;"|"&amp;COUNTIF($A$2:$A65,$A65))</f>
        <v/>
      </c>
    </row>
    <row r="66">
      <c r="A66" s="29" t="n"/>
      <c r="B66" s="29" t="n"/>
      <c r="C66" s="29" t="n"/>
      <c r="D66" s="34" t="n"/>
      <c r="E66" s="29" t="n"/>
      <c r="F66" s="6" t="n"/>
      <c r="G66" s="6" t="n"/>
      <c r="H66" s="31" t="n"/>
      <c r="I66" s="6" t="n"/>
      <c r="J66" s="6" t="n"/>
      <c r="K66" s="17">
        <f>IF($A66="","",$A66&amp;"|"&amp;COUNTIF($A$2:$A66,$A66))</f>
        <v/>
      </c>
    </row>
    <row r="67">
      <c r="A67" s="29" t="n"/>
      <c r="B67" s="29" t="n"/>
      <c r="C67" s="29" t="n"/>
      <c r="D67" s="34" t="n"/>
      <c r="E67" s="29" t="n"/>
      <c r="F67" s="6" t="n"/>
      <c r="G67" s="6" t="n"/>
      <c r="H67" s="31" t="n"/>
      <c r="I67" s="6" t="n"/>
      <c r="J67" s="6" t="n"/>
      <c r="K67" s="17">
        <f>IF($A67="","",$A67&amp;"|"&amp;COUNTIF($A$2:$A67,$A67))</f>
        <v/>
      </c>
    </row>
    <row r="68">
      <c r="A68" s="29" t="n"/>
      <c r="B68" s="29" t="n"/>
      <c r="C68" s="29" t="n"/>
      <c r="D68" s="34" t="n"/>
      <c r="E68" s="29" t="n"/>
      <c r="F68" s="6" t="n"/>
      <c r="G68" s="6" t="n"/>
      <c r="H68" s="31" t="n"/>
      <c r="I68" s="6" t="n"/>
      <c r="J68" s="6" t="n"/>
      <c r="K68" s="17">
        <f>IF($A68="","",$A68&amp;"|"&amp;COUNTIF($A$2:$A68,$A68))</f>
        <v/>
      </c>
    </row>
    <row r="69">
      <c r="A69" s="29" t="n"/>
      <c r="B69" s="29" t="n"/>
      <c r="C69" s="29" t="n"/>
      <c r="D69" s="34" t="n"/>
      <c r="E69" s="29" t="n"/>
      <c r="F69" s="6" t="n"/>
      <c r="G69" s="6" t="n"/>
      <c r="H69" s="31" t="n"/>
      <c r="I69" s="6" t="n"/>
      <c r="J69" s="6" t="n"/>
      <c r="K69" s="17">
        <f>IF($A69="","",$A69&amp;"|"&amp;COUNTIF($A$2:$A69,$A69))</f>
        <v/>
      </c>
    </row>
    <row r="70">
      <c r="A70" s="29" t="n"/>
      <c r="B70" s="29" t="n"/>
      <c r="C70" s="29" t="n"/>
      <c r="D70" s="34" t="n"/>
      <c r="E70" s="29" t="n"/>
      <c r="F70" s="6" t="n"/>
      <c r="G70" s="6" t="n"/>
      <c r="H70" s="31" t="n"/>
      <c r="I70" s="6" t="n"/>
      <c r="J70" s="6" t="n"/>
      <c r="K70" s="17">
        <f>IF($A70="","",$A70&amp;"|"&amp;COUNTIF($A$2:$A70,$A70))</f>
        <v/>
      </c>
    </row>
    <row r="71">
      <c r="A71" s="29" t="n"/>
      <c r="B71" s="29" t="n"/>
      <c r="C71" s="29" t="n"/>
      <c r="D71" s="34" t="n"/>
      <c r="E71" s="29" t="n"/>
      <c r="F71" s="6" t="n"/>
      <c r="G71" s="6" t="n"/>
      <c r="H71" s="31" t="n"/>
      <c r="I71" s="6" t="n"/>
      <c r="J71" s="6" t="n"/>
      <c r="K71" s="17">
        <f>IF($A71="","",$A71&amp;"|"&amp;COUNTIF($A$2:$A71,$A71))</f>
        <v/>
      </c>
    </row>
    <row r="72">
      <c r="A72" s="29" t="n"/>
      <c r="B72" s="29" t="n"/>
      <c r="C72" s="29" t="n"/>
      <c r="D72" s="34" t="n"/>
      <c r="E72" s="29" t="n"/>
      <c r="F72" s="6" t="n"/>
      <c r="G72" s="6" t="n"/>
      <c r="H72" s="31" t="n"/>
      <c r="I72" s="6" t="n"/>
      <c r="J72" s="6" t="n"/>
      <c r="K72" s="17">
        <f>IF($A72="","",$A72&amp;"|"&amp;COUNTIF($A$2:$A72,$A72))</f>
        <v/>
      </c>
    </row>
    <row r="73">
      <c r="A73" s="29" t="n"/>
      <c r="B73" s="29" t="n"/>
      <c r="C73" s="29" t="n"/>
      <c r="D73" s="34" t="n"/>
      <c r="E73" s="29" t="n"/>
      <c r="F73" s="6" t="n"/>
      <c r="G73" s="6" t="n"/>
      <c r="H73" s="31" t="n"/>
      <c r="I73" s="6" t="n"/>
      <c r="J73" s="6" t="n"/>
      <c r="K73" s="17">
        <f>IF($A73="","",$A73&amp;"|"&amp;COUNTIF($A$2:$A73,$A73))</f>
        <v/>
      </c>
    </row>
    <row r="74">
      <c r="A74" s="29" t="n"/>
      <c r="B74" s="29" t="n"/>
      <c r="C74" s="29" t="n"/>
      <c r="D74" s="34" t="n"/>
      <c r="E74" s="29" t="n"/>
      <c r="F74" s="6" t="n"/>
      <c r="G74" s="6" t="n"/>
      <c r="H74" s="31" t="n"/>
      <c r="I74" s="6" t="n"/>
      <c r="J74" s="6" t="n"/>
      <c r="K74" s="17">
        <f>IF($A74="","",$A74&amp;"|"&amp;COUNTIF($A$2:$A74,$A74))</f>
        <v/>
      </c>
    </row>
    <row r="75">
      <c r="A75" s="29" t="n"/>
      <c r="B75" s="29" t="n"/>
      <c r="C75" s="29" t="n"/>
      <c r="D75" s="34" t="n"/>
      <c r="E75" s="29" t="n"/>
      <c r="F75" s="6" t="n"/>
      <c r="G75" s="6" t="n"/>
      <c r="H75" s="31" t="n"/>
      <c r="I75" s="6" t="n"/>
      <c r="J75" s="6" t="n"/>
      <c r="K75" s="17">
        <f>IF($A75="","",$A75&amp;"|"&amp;COUNTIF($A$2:$A75,$A75))</f>
        <v/>
      </c>
    </row>
    <row r="76">
      <c r="A76" s="29" t="n"/>
      <c r="B76" s="29" t="n"/>
      <c r="C76" s="29" t="n"/>
      <c r="D76" s="34" t="n"/>
      <c r="E76" s="29" t="n"/>
      <c r="F76" s="6" t="n"/>
      <c r="G76" s="6" t="n"/>
      <c r="H76" s="31" t="n"/>
      <c r="I76" s="6" t="n"/>
      <c r="J76" s="6" t="n"/>
      <c r="K76" s="17">
        <f>IF($A76="","",$A76&amp;"|"&amp;COUNTIF($A$2:$A76,$A76))</f>
        <v/>
      </c>
    </row>
    <row r="77">
      <c r="A77" s="29" t="n"/>
      <c r="B77" s="29" t="n"/>
      <c r="C77" s="29" t="n"/>
      <c r="D77" s="34" t="n"/>
      <c r="E77" s="29" t="n"/>
      <c r="F77" s="6" t="n"/>
      <c r="G77" s="6" t="n"/>
      <c r="H77" s="31" t="n"/>
      <c r="I77" s="6" t="n"/>
      <c r="J77" s="6" t="n"/>
      <c r="K77" s="17">
        <f>IF($A77="","",$A77&amp;"|"&amp;COUNTIF($A$2:$A77,$A77))</f>
        <v/>
      </c>
    </row>
    <row r="78">
      <c r="A78" s="29" t="n"/>
      <c r="B78" s="29" t="n"/>
      <c r="C78" s="29" t="n"/>
      <c r="D78" s="34" t="n"/>
      <c r="E78" s="29" t="n"/>
      <c r="F78" s="6" t="n"/>
      <c r="G78" s="6" t="n"/>
      <c r="H78" s="31" t="n"/>
      <c r="I78" s="6" t="n"/>
      <c r="J78" s="6" t="n"/>
      <c r="K78" s="17">
        <f>IF($A78="","",$A78&amp;"|"&amp;COUNTIF($A$2:$A78,$A78))</f>
        <v/>
      </c>
    </row>
    <row r="79">
      <c r="A79" s="29" t="n"/>
      <c r="B79" s="29" t="n"/>
      <c r="C79" s="29" t="n"/>
      <c r="D79" s="34" t="n"/>
      <c r="E79" s="29" t="n"/>
      <c r="F79" s="6" t="n"/>
      <c r="G79" s="6" t="n"/>
      <c r="H79" s="31" t="n"/>
      <c r="I79" s="6" t="n"/>
      <c r="J79" s="6" t="n"/>
      <c r="K79" s="17">
        <f>IF($A79="","",$A79&amp;"|"&amp;COUNTIF($A$2:$A79,$A79))</f>
        <v/>
      </c>
    </row>
    <row r="80">
      <c r="A80" s="29" t="n"/>
      <c r="B80" s="29" t="n"/>
      <c r="C80" s="29" t="n"/>
      <c r="D80" s="34" t="n"/>
      <c r="E80" s="29" t="n"/>
      <c r="F80" s="6" t="n"/>
      <c r="G80" s="6" t="n"/>
      <c r="H80" s="31" t="n"/>
      <c r="I80" s="6" t="n"/>
      <c r="J80" s="6" t="n"/>
      <c r="K80" s="17">
        <f>IF($A80="","",$A80&amp;"|"&amp;COUNTIF($A$2:$A80,$A80))</f>
        <v/>
      </c>
    </row>
    <row r="81">
      <c r="A81" s="29" t="n"/>
      <c r="B81" s="29" t="n"/>
      <c r="C81" s="29" t="n"/>
      <c r="D81" s="34" t="n"/>
      <c r="E81" s="29" t="n"/>
      <c r="F81" s="6" t="n"/>
      <c r="G81" s="6" t="n"/>
      <c r="H81" s="31" t="n"/>
      <c r="I81" s="6" t="n"/>
      <c r="J81" s="6" t="n"/>
      <c r="K81" s="17">
        <f>IF($A81="","",$A81&amp;"|"&amp;COUNTIF($A$2:$A81,$A81))</f>
        <v/>
      </c>
    </row>
    <row r="82">
      <c r="A82" s="29" t="n"/>
      <c r="B82" s="29" t="n"/>
      <c r="C82" s="29" t="n"/>
      <c r="D82" s="34" t="n"/>
      <c r="E82" s="29" t="n"/>
      <c r="F82" s="6" t="n"/>
      <c r="G82" s="6" t="n"/>
      <c r="H82" s="31" t="n"/>
      <c r="I82" s="6" t="n"/>
      <c r="J82" s="6" t="n"/>
      <c r="K82" s="17">
        <f>IF($A82="","",$A82&amp;"|"&amp;COUNTIF($A$2:$A82,$A82))</f>
        <v/>
      </c>
    </row>
    <row r="83">
      <c r="A83" s="29" t="n"/>
      <c r="B83" s="29" t="n"/>
      <c r="C83" s="29" t="n"/>
      <c r="D83" s="34" t="n"/>
      <c r="E83" s="29" t="n"/>
      <c r="F83" s="6" t="n"/>
      <c r="G83" s="6" t="n"/>
      <c r="H83" s="31" t="n"/>
      <c r="I83" s="6" t="n"/>
      <c r="J83" s="6" t="n"/>
      <c r="K83" s="17">
        <f>IF($A83="","",$A83&amp;"|"&amp;COUNTIF($A$2:$A83,$A83))</f>
        <v/>
      </c>
    </row>
    <row r="84">
      <c r="A84" s="29" t="n"/>
      <c r="B84" s="29" t="n"/>
      <c r="C84" s="29" t="n"/>
      <c r="D84" s="34" t="n"/>
      <c r="E84" s="29" t="n"/>
      <c r="F84" s="6" t="n"/>
      <c r="G84" s="6" t="n"/>
      <c r="H84" s="31" t="n"/>
      <c r="I84" s="6" t="n"/>
      <c r="J84" s="6" t="n"/>
      <c r="K84" s="17">
        <f>IF($A84="","",$A84&amp;"|"&amp;COUNTIF($A$2:$A84,$A84))</f>
        <v/>
      </c>
    </row>
    <row r="85">
      <c r="A85" s="29" t="n"/>
      <c r="B85" s="29" t="n"/>
      <c r="C85" s="29" t="n"/>
      <c r="D85" s="34" t="n"/>
      <c r="E85" s="29" t="n"/>
      <c r="F85" s="6" t="n"/>
      <c r="G85" s="6" t="n"/>
      <c r="H85" s="31" t="n"/>
      <c r="I85" s="6" t="n"/>
      <c r="J85" s="6" t="n"/>
      <c r="K85" s="17">
        <f>IF($A85="","",$A85&amp;"|"&amp;COUNTIF($A$2:$A85,$A85))</f>
        <v/>
      </c>
    </row>
    <row r="86">
      <c r="A86" s="29" t="n"/>
      <c r="B86" s="29" t="n"/>
      <c r="C86" s="29" t="n"/>
      <c r="D86" s="34" t="n"/>
      <c r="E86" s="29" t="n"/>
      <c r="F86" s="6" t="n"/>
      <c r="G86" s="6" t="n"/>
      <c r="H86" s="31" t="n"/>
      <c r="I86" s="6" t="n"/>
      <c r="J86" s="6" t="n"/>
      <c r="K86" s="17">
        <f>IF($A86="","",$A86&amp;"|"&amp;COUNTIF($A$2:$A86,$A86))</f>
        <v/>
      </c>
    </row>
    <row r="87">
      <c r="A87" s="29" t="n"/>
      <c r="B87" s="29" t="n"/>
      <c r="C87" s="29" t="n"/>
      <c r="D87" s="34" t="n"/>
      <c r="E87" s="29" t="n"/>
      <c r="F87" s="6" t="n"/>
      <c r="G87" s="6" t="n"/>
      <c r="H87" s="31" t="n"/>
      <c r="I87" s="6" t="n"/>
      <c r="J87" s="6" t="n"/>
      <c r="K87" s="17">
        <f>IF($A87="","",$A87&amp;"|"&amp;COUNTIF($A$2:$A87,$A87))</f>
        <v/>
      </c>
    </row>
    <row r="88">
      <c r="A88" s="29" t="n"/>
      <c r="B88" s="29" t="n"/>
      <c r="C88" s="29" t="n"/>
      <c r="D88" s="34" t="n"/>
      <c r="E88" s="29" t="n"/>
      <c r="F88" s="6" t="n"/>
      <c r="G88" s="6" t="n"/>
      <c r="H88" s="31" t="n"/>
      <c r="I88" s="6" t="n"/>
      <c r="J88" s="6" t="n"/>
      <c r="K88" s="17">
        <f>IF($A88="","",$A88&amp;"|"&amp;COUNTIF($A$2:$A88,$A88))</f>
        <v/>
      </c>
    </row>
    <row r="89">
      <c r="A89" s="29" t="n"/>
      <c r="B89" s="29" t="n"/>
      <c r="C89" s="29" t="n"/>
      <c r="D89" s="34" t="n"/>
      <c r="E89" s="29" t="n"/>
      <c r="F89" s="6" t="n"/>
      <c r="G89" s="6" t="n"/>
      <c r="H89" s="31" t="n"/>
      <c r="I89" s="6" t="n"/>
      <c r="J89" s="6" t="n"/>
      <c r="K89" s="17">
        <f>IF($A89="","",$A89&amp;"|"&amp;COUNTIF($A$2:$A89,$A89))</f>
        <v/>
      </c>
    </row>
    <row r="90">
      <c r="A90" s="29" t="n"/>
      <c r="B90" s="29" t="n"/>
      <c r="C90" s="29" t="n"/>
      <c r="D90" s="34" t="n"/>
      <c r="E90" s="29" t="n"/>
      <c r="F90" s="6" t="n"/>
      <c r="G90" s="6" t="n"/>
      <c r="H90" s="31" t="n"/>
      <c r="I90" s="6" t="n"/>
      <c r="J90" s="6" t="n"/>
      <c r="K90" s="17">
        <f>IF($A90="","",$A90&amp;"|"&amp;COUNTIF($A$2:$A90,$A90))</f>
        <v/>
      </c>
    </row>
    <row r="91">
      <c r="A91" s="29" t="n"/>
      <c r="B91" s="29" t="n"/>
      <c r="C91" s="29" t="n"/>
      <c r="D91" s="34" t="n"/>
      <c r="E91" s="29" t="n"/>
      <c r="F91" s="6" t="n"/>
      <c r="G91" s="6" t="n"/>
      <c r="H91" s="31" t="n"/>
      <c r="I91" s="6" t="n"/>
      <c r="J91" s="6" t="n"/>
      <c r="K91" s="17">
        <f>IF($A91="","",$A91&amp;"|"&amp;COUNTIF($A$2:$A91,$A91))</f>
        <v/>
      </c>
    </row>
    <row r="92">
      <c r="A92" s="29" t="n"/>
      <c r="B92" s="29" t="n"/>
      <c r="C92" s="29" t="n"/>
      <c r="D92" s="34" t="n"/>
      <c r="E92" s="29" t="n"/>
      <c r="F92" s="6" t="n"/>
      <c r="G92" s="6" t="n"/>
      <c r="H92" s="31" t="n"/>
      <c r="I92" s="6" t="n"/>
      <c r="J92" s="6" t="n"/>
      <c r="K92" s="17">
        <f>IF($A92="","",$A92&amp;"|"&amp;COUNTIF($A$2:$A92,$A92))</f>
        <v/>
      </c>
    </row>
    <row r="93">
      <c r="A93" s="29" t="n"/>
      <c r="B93" s="29" t="n"/>
      <c r="C93" s="29" t="n"/>
      <c r="D93" s="34" t="n"/>
      <c r="E93" s="29" t="n"/>
      <c r="F93" s="6" t="n"/>
      <c r="G93" s="6" t="n"/>
      <c r="H93" s="31" t="n"/>
      <c r="I93" s="6" t="n"/>
      <c r="J93" s="6" t="n"/>
      <c r="K93" s="17">
        <f>IF($A93="","",$A93&amp;"|"&amp;COUNTIF($A$2:$A93,$A93))</f>
        <v/>
      </c>
    </row>
    <row r="94">
      <c r="A94" s="29" t="n"/>
      <c r="B94" s="29" t="n"/>
      <c r="C94" s="29" t="n"/>
      <c r="D94" s="34" t="n"/>
      <c r="E94" s="29" t="n"/>
      <c r="F94" s="6" t="n"/>
      <c r="G94" s="6" t="n"/>
      <c r="H94" s="31" t="n"/>
      <c r="I94" s="6" t="n"/>
      <c r="J94" s="6" t="n"/>
      <c r="K94" s="17">
        <f>IF($A94="","",$A94&amp;"|"&amp;COUNTIF($A$2:$A94,$A94))</f>
        <v/>
      </c>
    </row>
    <row r="95">
      <c r="A95" s="29" t="n"/>
      <c r="B95" s="29" t="n"/>
      <c r="C95" s="29" t="n"/>
      <c r="D95" s="34" t="n"/>
      <c r="E95" s="29" t="n"/>
      <c r="F95" s="6" t="n"/>
      <c r="G95" s="6" t="n"/>
      <c r="H95" s="31" t="n"/>
      <c r="I95" s="6" t="n"/>
      <c r="J95" s="6" t="n"/>
      <c r="K95" s="17">
        <f>IF($A95="","",$A95&amp;"|"&amp;COUNTIF($A$2:$A95,$A95))</f>
        <v/>
      </c>
    </row>
    <row r="96">
      <c r="A96" s="29" t="n"/>
      <c r="B96" s="29" t="n"/>
      <c r="C96" s="29" t="n"/>
      <c r="D96" s="34" t="n"/>
      <c r="E96" s="29" t="n"/>
      <c r="F96" s="6" t="n"/>
      <c r="G96" s="6" t="n"/>
      <c r="H96" s="31" t="n"/>
      <c r="I96" s="6" t="n"/>
      <c r="J96" s="6" t="n"/>
      <c r="K96" s="17">
        <f>IF($A96="","",$A96&amp;"|"&amp;COUNTIF($A$2:$A96,$A96))</f>
        <v/>
      </c>
    </row>
    <row r="97">
      <c r="A97" s="29" t="n"/>
      <c r="B97" s="29" t="n"/>
      <c r="C97" s="29" t="n"/>
      <c r="D97" s="34" t="n"/>
      <c r="E97" s="29" t="n"/>
      <c r="F97" s="6" t="n"/>
      <c r="G97" s="6" t="n"/>
      <c r="H97" s="31" t="n"/>
      <c r="I97" s="6" t="n"/>
      <c r="J97" s="6" t="n"/>
      <c r="K97" s="17">
        <f>IF($A97="","",$A97&amp;"|"&amp;COUNTIF($A$2:$A97,$A97))</f>
        <v/>
      </c>
    </row>
    <row r="98">
      <c r="A98" s="29" t="n"/>
      <c r="B98" s="29" t="n"/>
      <c r="C98" s="29" t="n"/>
      <c r="D98" s="34" t="n"/>
      <c r="E98" s="29" t="n"/>
      <c r="F98" s="6" t="n"/>
      <c r="G98" s="6" t="n"/>
      <c r="H98" s="31" t="n"/>
      <c r="I98" s="6" t="n"/>
      <c r="J98" s="6" t="n"/>
      <c r="K98" s="17">
        <f>IF($A98="","",$A98&amp;"|"&amp;COUNTIF($A$2:$A98,$A98))</f>
        <v/>
      </c>
    </row>
    <row r="99">
      <c r="A99" s="29" t="n"/>
      <c r="B99" s="29" t="n"/>
      <c r="C99" s="29" t="n"/>
      <c r="D99" s="34" t="n"/>
      <c r="E99" s="29" t="n"/>
      <c r="F99" s="6" t="n"/>
      <c r="G99" s="6" t="n"/>
      <c r="H99" s="31" t="n"/>
      <c r="I99" s="6" t="n"/>
      <c r="J99" s="6" t="n"/>
      <c r="K99" s="17">
        <f>IF($A99="","",$A99&amp;"|"&amp;COUNTIF($A$2:$A99,$A99))</f>
        <v/>
      </c>
    </row>
    <row r="100">
      <c r="A100" s="29" t="n"/>
      <c r="B100" s="29" t="n"/>
      <c r="C100" s="29" t="n"/>
      <c r="D100" s="34" t="n"/>
      <c r="E100" s="29" t="n"/>
      <c r="F100" s="6" t="n"/>
      <c r="G100" s="6" t="n"/>
      <c r="H100" s="31" t="n"/>
      <c r="I100" s="6" t="n"/>
      <c r="J100" s="6" t="n"/>
      <c r="K100" s="17">
        <f>IF($A100="","",$A100&amp;"|"&amp;COUNTIF($A$2:$A100,$A100))</f>
        <v/>
      </c>
    </row>
    <row r="101">
      <c r="A101" s="29" t="n"/>
      <c r="B101" s="29" t="n"/>
      <c r="C101" s="29" t="n"/>
      <c r="D101" s="34" t="n"/>
      <c r="E101" s="29" t="n"/>
      <c r="F101" s="6" t="n"/>
      <c r="G101" s="6" t="n"/>
      <c r="H101" s="31" t="n"/>
      <c r="I101" s="6" t="n"/>
      <c r="J101" s="6" t="n"/>
      <c r="K101" s="17">
        <f>IF($A101="","",$A101&amp;"|"&amp;COUNTIF($A$2:$A101,$A101))</f>
        <v/>
      </c>
    </row>
    <row r="102">
      <c r="A102" s="29" t="n"/>
      <c r="B102" s="29" t="n"/>
      <c r="C102" s="29" t="n"/>
      <c r="D102" s="34" t="n"/>
      <c r="E102" s="29" t="n"/>
      <c r="F102" s="6" t="n"/>
      <c r="G102" s="6" t="n"/>
      <c r="H102" s="31" t="n"/>
      <c r="I102" s="6" t="n"/>
      <c r="J102" s="6" t="n"/>
      <c r="K102" s="17">
        <f>IF($A102="","",$A102&amp;"|"&amp;COUNTIF($A$2:$A102,$A102))</f>
        <v/>
      </c>
    </row>
    <row r="103">
      <c r="A103" s="29" t="n"/>
      <c r="B103" s="29" t="n"/>
      <c r="C103" s="29" t="n"/>
      <c r="D103" s="34" t="n"/>
      <c r="E103" s="29" t="n"/>
      <c r="F103" s="6" t="n"/>
      <c r="G103" s="6" t="n"/>
      <c r="H103" s="31" t="n"/>
      <c r="I103" s="6" t="n"/>
      <c r="J103" s="6" t="n"/>
      <c r="K103" s="17">
        <f>IF($A103="","",$A103&amp;"|"&amp;COUNTIF($A$2:$A103,$A103))</f>
        <v/>
      </c>
    </row>
    <row r="104">
      <c r="A104" s="29" t="n"/>
      <c r="B104" s="29" t="n"/>
      <c r="C104" s="29" t="n"/>
      <c r="D104" s="34" t="n"/>
      <c r="E104" s="29" t="n"/>
      <c r="F104" s="6" t="n"/>
      <c r="G104" s="6" t="n"/>
      <c r="H104" s="31" t="n"/>
      <c r="I104" s="6" t="n"/>
      <c r="J104" s="6" t="n"/>
      <c r="K104" s="17">
        <f>IF($A104="","",$A104&amp;"|"&amp;COUNTIF($A$2:$A104,$A104))</f>
        <v/>
      </c>
    </row>
    <row r="105">
      <c r="A105" s="29" t="n"/>
      <c r="B105" s="29" t="n"/>
      <c r="C105" s="29" t="n"/>
      <c r="D105" s="34" t="n"/>
      <c r="E105" s="29" t="n"/>
      <c r="F105" s="6" t="n"/>
      <c r="G105" s="6" t="n"/>
      <c r="H105" s="31" t="n"/>
      <c r="I105" s="6" t="n"/>
      <c r="J105" s="6" t="n"/>
      <c r="K105" s="17">
        <f>IF($A105="","",$A105&amp;"|"&amp;COUNTIF($A$2:$A105,$A105))</f>
        <v/>
      </c>
    </row>
    <row r="106">
      <c r="A106" s="29" t="n"/>
      <c r="B106" s="29" t="n"/>
      <c r="C106" s="29" t="n"/>
      <c r="D106" s="34" t="n"/>
      <c r="E106" s="29" t="n"/>
      <c r="F106" s="6" t="n"/>
      <c r="G106" s="6" t="n"/>
      <c r="H106" s="31" t="n"/>
      <c r="I106" s="6" t="n"/>
      <c r="J106" s="6" t="n"/>
      <c r="K106" s="17">
        <f>IF($A106="","",$A106&amp;"|"&amp;COUNTIF($A$2:$A106,$A106))</f>
        <v/>
      </c>
    </row>
    <row r="107">
      <c r="A107" s="29" t="n"/>
      <c r="B107" s="29" t="n"/>
      <c r="C107" s="29" t="n"/>
      <c r="D107" s="34" t="n"/>
      <c r="E107" s="29" t="n"/>
      <c r="F107" s="6" t="n"/>
      <c r="G107" s="6" t="n"/>
      <c r="H107" s="31" t="n"/>
      <c r="I107" s="6" t="n"/>
      <c r="J107" s="6" t="n"/>
      <c r="K107" s="17">
        <f>IF($A107="","",$A107&amp;"|"&amp;COUNTIF($A$2:$A107,$A107))</f>
        <v/>
      </c>
    </row>
    <row r="108">
      <c r="A108" s="29" t="n"/>
      <c r="B108" s="29" t="n"/>
      <c r="C108" s="29" t="n"/>
      <c r="D108" s="34" t="n"/>
      <c r="E108" s="29" t="n"/>
      <c r="F108" s="6" t="n"/>
      <c r="G108" s="6" t="n"/>
      <c r="H108" s="31" t="n"/>
      <c r="I108" s="6" t="n"/>
      <c r="J108" s="6" t="n"/>
      <c r="K108" s="17">
        <f>IF($A108="","",$A108&amp;"|"&amp;COUNTIF($A$2:$A108,$A108))</f>
        <v/>
      </c>
    </row>
    <row r="109">
      <c r="A109" s="29" t="n"/>
      <c r="B109" s="29" t="n"/>
      <c r="C109" s="29" t="n"/>
      <c r="D109" s="34" t="n"/>
      <c r="E109" s="29" t="n"/>
      <c r="F109" s="6" t="n"/>
      <c r="G109" s="6" t="n"/>
      <c r="H109" s="31" t="n"/>
      <c r="I109" s="6" t="n"/>
      <c r="J109" s="6" t="n"/>
      <c r="K109" s="17">
        <f>IF($A109="","",$A109&amp;"|"&amp;COUNTIF($A$2:$A109,$A109))</f>
        <v/>
      </c>
    </row>
    <row r="110">
      <c r="A110" s="29" t="n"/>
      <c r="B110" s="29" t="n"/>
      <c r="C110" s="29" t="n"/>
      <c r="D110" s="34" t="n"/>
      <c r="E110" s="29" t="n"/>
      <c r="F110" s="6" t="n"/>
      <c r="G110" s="6" t="n"/>
      <c r="H110" s="31" t="n"/>
      <c r="I110" s="6" t="n"/>
      <c r="J110" s="6" t="n"/>
      <c r="K110" s="17">
        <f>IF($A110="","",$A110&amp;"|"&amp;COUNTIF($A$2:$A110,$A110))</f>
        <v/>
      </c>
    </row>
    <row r="111">
      <c r="A111" s="29" t="n"/>
      <c r="B111" s="29" t="n"/>
      <c r="C111" s="29" t="n"/>
      <c r="D111" s="34" t="n"/>
      <c r="E111" s="29" t="n"/>
      <c r="F111" s="6" t="n"/>
      <c r="G111" s="6" t="n"/>
      <c r="H111" s="31" t="n"/>
      <c r="I111" s="6" t="n"/>
      <c r="J111" s="6" t="n"/>
      <c r="K111" s="17">
        <f>IF($A111="","",$A111&amp;"|"&amp;COUNTIF($A$2:$A111,$A111))</f>
        <v/>
      </c>
    </row>
    <row r="112">
      <c r="A112" s="29" t="n"/>
      <c r="B112" s="29" t="n"/>
      <c r="C112" s="29" t="n"/>
      <c r="D112" s="34" t="n"/>
      <c r="E112" s="29" t="n"/>
      <c r="F112" s="6" t="n"/>
      <c r="G112" s="6" t="n"/>
      <c r="H112" s="31" t="n"/>
      <c r="I112" s="6" t="n"/>
      <c r="J112" s="6" t="n"/>
      <c r="K112" s="17">
        <f>IF($A112="","",$A112&amp;"|"&amp;COUNTIF($A$2:$A112,$A112))</f>
        <v/>
      </c>
    </row>
    <row r="113">
      <c r="A113" s="29" t="n"/>
      <c r="B113" s="29" t="n"/>
      <c r="C113" s="29" t="n"/>
      <c r="D113" s="34" t="n"/>
      <c r="E113" s="29" t="n"/>
      <c r="F113" s="6" t="n"/>
      <c r="G113" s="6" t="n"/>
      <c r="H113" s="31" t="n"/>
      <c r="I113" s="6" t="n"/>
      <c r="J113" s="6" t="n"/>
      <c r="K113" s="17">
        <f>IF($A113="","",$A113&amp;"|"&amp;COUNTIF($A$2:$A113,$A113))</f>
        <v/>
      </c>
    </row>
    <row r="114">
      <c r="A114" s="29" t="n"/>
      <c r="B114" s="29" t="n"/>
      <c r="C114" s="29" t="n"/>
      <c r="D114" s="34" t="n"/>
      <c r="E114" s="29" t="n"/>
      <c r="F114" s="6" t="n"/>
      <c r="G114" s="6" t="n"/>
      <c r="H114" s="31" t="n"/>
      <c r="I114" s="6" t="n"/>
      <c r="J114" s="6" t="n"/>
      <c r="K114" s="17">
        <f>IF($A114="","",$A114&amp;"|"&amp;COUNTIF($A$2:$A114,$A114))</f>
        <v/>
      </c>
    </row>
    <row r="115">
      <c r="A115" s="29" t="n"/>
      <c r="B115" s="29" t="n"/>
      <c r="C115" s="29" t="n"/>
      <c r="D115" s="34" t="n"/>
      <c r="E115" s="29" t="n"/>
      <c r="F115" s="6" t="n"/>
      <c r="G115" s="6" t="n"/>
      <c r="H115" s="31" t="n"/>
      <c r="I115" s="6" t="n"/>
      <c r="J115" s="6" t="n"/>
      <c r="K115" s="17">
        <f>IF($A115="","",$A115&amp;"|"&amp;COUNTIF($A$2:$A115,$A115))</f>
        <v/>
      </c>
    </row>
    <row r="116">
      <c r="A116" s="29" t="n"/>
      <c r="B116" s="29" t="n"/>
      <c r="C116" s="29" t="n"/>
      <c r="D116" s="34" t="n"/>
      <c r="E116" s="29" t="n"/>
      <c r="F116" s="6" t="n"/>
      <c r="G116" s="6" t="n"/>
      <c r="H116" s="31" t="n"/>
      <c r="I116" s="6" t="n"/>
      <c r="J116" s="6" t="n"/>
      <c r="K116" s="17">
        <f>IF($A116="","",$A116&amp;"|"&amp;COUNTIF($A$2:$A116,$A116))</f>
        <v/>
      </c>
    </row>
    <row r="117">
      <c r="A117" s="29" t="n"/>
      <c r="B117" s="29" t="n"/>
      <c r="C117" s="29" t="n"/>
      <c r="D117" s="34" t="n"/>
      <c r="E117" s="29" t="n"/>
      <c r="F117" s="6" t="n"/>
      <c r="G117" s="6" t="n"/>
      <c r="H117" s="31" t="n"/>
      <c r="I117" s="6" t="n"/>
      <c r="J117" s="6" t="n"/>
      <c r="K117" s="17">
        <f>IF($A117="","",$A117&amp;"|"&amp;COUNTIF($A$2:$A117,$A117))</f>
        <v/>
      </c>
    </row>
    <row r="118">
      <c r="A118" s="29" t="n"/>
      <c r="B118" s="29" t="n"/>
      <c r="C118" s="29" t="n"/>
      <c r="D118" s="34" t="n"/>
      <c r="E118" s="29" t="n"/>
      <c r="F118" s="6" t="n"/>
      <c r="G118" s="6" t="n"/>
      <c r="H118" s="31" t="n"/>
      <c r="I118" s="6" t="n"/>
      <c r="J118" s="6" t="n"/>
      <c r="K118" s="17">
        <f>IF($A118="","",$A118&amp;"|"&amp;COUNTIF($A$2:$A118,$A118))</f>
        <v/>
      </c>
    </row>
    <row r="119">
      <c r="A119" s="29" t="n"/>
      <c r="B119" s="29" t="n"/>
      <c r="C119" s="29" t="n"/>
      <c r="D119" s="34" t="n"/>
      <c r="E119" s="29" t="n"/>
      <c r="F119" s="6" t="n"/>
      <c r="G119" s="6" t="n"/>
      <c r="H119" s="31" t="n"/>
      <c r="I119" s="6" t="n"/>
      <c r="J119" s="6" t="n"/>
      <c r="K119" s="17">
        <f>IF($A119="","",$A119&amp;"|"&amp;COUNTIF($A$2:$A119,$A119))</f>
        <v/>
      </c>
    </row>
    <row r="120">
      <c r="A120" s="29" t="n"/>
      <c r="B120" s="29" t="n"/>
      <c r="C120" s="29" t="n"/>
      <c r="D120" s="34" t="n"/>
      <c r="E120" s="29" t="n"/>
      <c r="F120" s="6" t="n"/>
      <c r="G120" s="6" t="n"/>
      <c r="H120" s="31" t="n"/>
      <c r="I120" s="6" t="n"/>
      <c r="J120" s="6" t="n"/>
      <c r="K120" s="17">
        <f>IF($A120="","",$A120&amp;"|"&amp;COUNTIF($A$2:$A120,$A120))</f>
        <v/>
      </c>
    </row>
    <row r="121">
      <c r="A121" s="29" t="n"/>
      <c r="B121" s="29" t="n"/>
      <c r="C121" s="29" t="n"/>
      <c r="D121" s="34" t="n"/>
      <c r="E121" s="29" t="n"/>
      <c r="F121" s="6" t="n"/>
      <c r="G121" s="6" t="n"/>
      <c r="H121" s="31" t="n"/>
      <c r="I121" s="6" t="n"/>
      <c r="J121" s="6" t="n"/>
      <c r="K121" s="17">
        <f>IF($A121="","",$A121&amp;"|"&amp;COUNTIF($A$2:$A121,$A121))</f>
        <v/>
      </c>
    </row>
    <row r="122">
      <c r="A122" s="29" t="n"/>
      <c r="B122" s="29" t="n"/>
      <c r="C122" s="29" t="n"/>
      <c r="D122" s="34" t="n"/>
      <c r="E122" s="29" t="n"/>
      <c r="F122" s="6" t="n"/>
      <c r="G122" s="6" t="n"/>
      <c r="H122" s="31" t="n"/>
      <c r="I122" s="6" t="n"/>
      <c r="J122" s="6" t="n"/>
      <c r="K122" s="17">
        <f>IF($A122="","",$A122&amp;"|"&amp;COUNTIF($A$2:$A122,$A122))</f>
        <v/>
      </c>
    </row>
    <row r="123">
      <c r="A123" s="29" t="n"/>
      <c r="B123" s="29" t="n"/>
      <c r="C123" s="29" t="n"/>
      <c r="D123" s="34" t="n"/>
      <c r="E123" s="29" t="n"/>
      <c r="F123" s="6" t="n"/>
      <c r="G123" s="6" t="n"/>
      <c r="H123" s="31" t="n"/>
      <c r="I123" s="6" t="n"/>
      <c r="J123" s="6" t="n"/>
      <c r="K123" s="17">
        <f>IF($A123="","",$A123&amp;"|"&amp;COUNTIF($A$2:$A123,$A123))</f>
        <v/>
      </c>
    </row>
    <row r="124">
      <c r="A124" s="29" t="n"/>
      <c r="B124" s="29" t="n"/>
      <c r="C124" s="29" t="n"/>
      <c r="D124" s="34" t="n"/>
      <c r="E124" s="29" t="n"/>
      <c r="F124" s="6" t="n"/>
      <c r="G124" s="6" t="n"/>
      <c r="H124" s="31" t="n"/>
      <c r="I124" s="6" t="n"/>
      <c r="J124" s="6" t="n"/>
      <c r="K124" s="17">
        <f>IF($A124="","",$A124&amp;"|"&amp;COUNTIF($A$2:$A124,$A124))</f>
        <v/>
      </c>
    </row>
    <row r="125">
      <c r="A125" s="29" t="n"/>
      <c r="B125" s="29" t="n"/>
      <c r="C125" s="29" t="n"/>
      <c r="D125" s="34" t="n"/>
      <c r="E125" s="29" t="n"/>
      <c r="F125" s="6" t="n"/>
      <c r="G125" s="6" t="n"/>
      <c r="H125" s="31" t="n"/>
      <c r="I125" s="6" t="n"/>
      <c r="J125" s="6" t="n"/>
      <c r="K125" s="17">
        <f>IF($A125="","",$A125&amp;"|"&amp;COUNTIF($A$2:$A125,$A125))</f>
        <v/>
      </c>
    </row>
    <row r="126">
      <c r="A126" s="29" t="n"/>
      <c r="B126" s="29" t="n"/>
      <c r="C126" s="29" t="n"/>
      <c r="D126" s="34" t="n"/>
      <c r="E126" s="29" t="n"/>
      <c r="F126" s="6" t="n"/>
      <c r="G126" s="6" t="n"/>
      <c r="H126" s="31" t="n"/>
      <c r="I126" s="6" t="n"/>
      <c r="J126" s="6" t="n"/>
      <c r="K126" s="17">
        <f>IF($A126="","",$A126&amp;"|"&amp;COUNTIF($A$2:$A126,$A126))</f>
        <v/>
      </c>
    </row>
    <row r="127">
      <c r="A127" s="29" t="n"/>
      <c r="B127" s="29" t="n"/>
      <c r="C127" s="29" t="n"/>
      <c r="D127" s="34" t="n"/>
      <c r="E127" s="29" t="n"/>
      <c r="F127" s="6" t="n"/>
      <c r="G127" s="6" t="n"/>
      <c r="H127" s="31" t="n"/>
      <c r="I127" s="6" t="n"/>
      <c r="J127" s="6" t="n"/>
      <c r="K127" s="17">
        <f>IF($A127="","",$A127&amp;"|"&amp;COUNTIF($A$2:$A127,$A127))</f>
        <v/>
      </c>
    </row>
    <row r="128">
      <c r="A128" s="29" t="n"/>
      <c r="B128" s="29" t="n"/>
      <c r="C128" s="29" t="n"/>
      <c r="D128" s="34" t="n"/>
      <c r="E128" s="29" t="n"/>
      <c r="F128" s="6" t="n"/>
      <c r="G128" s="6" t="n"/>
      <c r="H128" s="31" t="n"/>
      <c r="I128" s="6" t="n"/>
      <c r="J128" s="6" t="n"/>
      <c r="K128" s="17">
        <f>IF($A128="","",$A128&amp;"|"&amp;COUNTIF($A$2:$A128,$A128))</f>
        <v/>
      </c>
    </row>
    <row r="129">
      <c r="A129" s="29" t="n"/>
      <c r="B129" s="29" t="n"/>
      <c r="C129" s="29" t="n"/>
      <c r="D129" s="34" t="n"/>
      <c r="E129" s="29" t="n"/>
      <c r="F129" s="6" t="n"/>
      <c r="G129" s="6" t="n"/>
      <c r="H129" s="31" t="n"/>
      <c r="I129" s="6" t="n"/>
      <c r="J129" s="6" t="n"/>
      <c r="K129" s="17">
        <f>IF($A129="","",$A129&amp;"|"&amp;COUNTIF($A$2:$A129,$A129))</f>
        <v/>
      </c>
    </row>
    <row r="130">
      <c r="A130" s="29" t="n"/>
      <c r="B130" s="29" t="n"/>
      <c r="C130" s="29" t="n"/>
      <c r="D130" s="34" t="n"/>
      <c r="E130" s="29" t="n"/>
      <c r="F130" s="6" t="n"/>
      <c r="G130" s="6" t="n"/>
      <c r="H130" s="31" t="n"/>
      <c r="I130" s="6" t="n"/>
      <c r="J130" s="6" t="n"/>
      <c r="K130" s="17">
        <f>IF($A130="","",$A130&amp;"|"&amp;COUNTIF($A$2:$A130,$A130))</f>
        <v/>
      </c>
    </row>
    <row r="131">
      <c r="A131" s="29" t="n"/>
      <c r="B131" s="29" t="n"/>
      <c r="C131" s="29" t="n"/>
      <c r="D131" s="34" t="n"/>
      <c r="E131" s="29" t="n"/>
      <c r="F131" s="6" t="n"/>
      <c r="G131" s="6" t="n"/>
      <c r="H131" s="31" t="n"/>
      <c r="I131" s="6" t="n"/>
      <c r="J131" s="6" t="n"/>
      <c r="K131" s="17">
        <f>IF($A131="","",$A131&amp;"|"&amp;COUNTIF($A$2:$A131,$A131))</f>
        <v/>
      </c>
    </row>
    <row r="132">
      <c r="A132" s="29" t="n"/>
      <c r="B132" s="29" t="n"/>
      <c r="C132" s="29" t="n"/>
      <c r="D132" s="34" t="n"/>
      <c r="E132" s="29" t="n"/>
      <c r="F132" s="6" t="n"/>
      <c r="G132" s="6" t="n"/>
      <c r="H132" s="31" t="n"/>
      <c r="I132" s="6" t="n"/>
      <c r="J132" s="6" t="n"/>
      <c r="K132" s="17">
        <f>IF($A132="","",$A132&amp;"|"&amp;COUNTIF($A$2:$A132,$A132))</f>
        <v/>
      </c>
    </row>
    <row r="133">
      <c r="A133" s="29" t="n"/>
      <c r="B133" s="29" t="n"/>
      <c r="C133" s="29" t="n"/>
      <c r="D133" s="34" t="n"/>
      <c r="E133" s="29" t="n"/>
      <c r="F133" s="6" t="n"/>
      <c r="G133" s="6" t="n"/>
      <c r="H133" s="31" t="n"/>
      <c r="I133" s="6" t="n"/>
      <c r="J133" s="6" t="n"/>
      <c r="K133" s="17">
        <f>IF($A133="","",$A133&amp;"|"&amp;COUNTIF($A$2:$A133,$A133))</f>
        <v/>
      </c>
    </row>
    <row r="134">
      <c r="A134" s="29" t="n"/>
      <c r="B134" s="29" t="n"/>
      <c r="C134" s="29" t="n"/>
      <c r="D134" s="34" t="n"/>
      <c r="E134" s="29" t="n"/>
      <c r="F134" s="6" t="n"/>
      <c r="G134" s="6" t="n"/>
      <c r="H134" s="31" t="n"/>
      <c r="I134" s="6" t="n"/>
      <c r="J134" s="6" t="n"/>
      <c r="K134" s="17">
        <f>IF($A134="","",$A134&amp;"|"&amp;COUNTIF($A$2:$A134,$A134))</f>
        <v/>
      </c>
    </row>
    <row r="135">
      <c r="A135" s="29" t="n"/>
      <c r="B135" s="29" t="n"/>
      <c r="C135" s="29" t="n"/>
      <c r="D135" s="34" t="n"/>
      <c r="E135" s="29" t="n"/>
      <c r="F135" s="6" t="n"/>
      <c r="G135" s="6" t="n"/>
      <c r="H135" s="31" t="n"/>
      <c r="I135" s="6" t="n"/>
      <c r="J135" s="6" t="n"/>
      <c r="K135" s="17">
        <f>IF($A135="","",$A135&amp;"|"&amp;COUNTIF($A$2:$A135,$A135))</f>
        <v/>
      </c>
    </row>
    <row r="136">
      <c r="A136" s="29" t="n"/>
      <c r="B136" s="29" t="n"/>
      <c r="C136" s="29" t="n"/>
      <c r="D136" s="34" t="n"/>
      <c r="E136" s="29" t="n"/>
      <c r="F136" s="6" t="n"/>
      <c r="G136" s="6" t="n"/>
      <c r="H136" s="31" t="n"/>
      <c r="I136" s="6" t="n"/>
      <c r="J136" s="6" t="n"/>
      <c r="K136" s="17">
        <f>IF($A136="","",$A136&amp;"|"&amp;COUNTIF($A$2:$A136,$A136))</f>
        <v/>
      </c>
    </row>
    <row r="137">
      <c r="A137" s="29" t="n"/>
      <c r="B137" s="29" t="n"/>
      <c r="C137" s="29" t="n"/>
      <c r="D137" s="34" t="n"/>
      <c r="E137" s="29" t="n"/>
      <c r="F137" s="6" t="n"/>
      <c r="G137" s="6" t="n"/>
      <c r="H137" s="31" t="n"/>
      <c r="I137" s="6" t="n"/>
      <c r="J137" s="6" t="n"/>
      <c r="K137" s="17">
        <f>IF($A137="","",$A137&amp;"|"&amp;COUNTIF($A$2:$A137,$A137))</f>
        <v/>
      </c>
    </row>
    <row r="138">
      <c r="A138" s="29" t="n"/>
      <c r="B138" s="29" t="n"/>
      <c r="C138" s="29" t="n"/>
      <c r="D138" s="34" t="n"/>
      <c r="E138" s="29" t="n"/>
      <c r="F138" s="6" t="n"/>
      <c r="G138" s="6" t="n"/>
      <c r="H138" s="31" t="n"/>
      <c r="I138" s="6" t="n"/>
      <c r="J138" s="6" t="n"/>
      <c r="K138" s="17">
        <f>IF($A138="","",$A138&amp;"|"&amp;COUNTIF($A$2:$A138,$A138))</f>
        <v/>
      </c>
    </row>
    <row r="139">
      <c r="A139" s="29" t="n"/>
      <c r="B139" s="29" t="n"/>
      <c r="C139" s="29" t="n"/>
      <c r="D139" s="34" t="n"/>
      <c r="E139" s="29" t="n"/>
      <c r="F139" s="6" t="n"/>
      <c r="G139" s="6" t="n"/>
      <c r="H139" s="31" t="n"/>
      <c r="I139" s="6" t="n"/>
      <c r="J139" s="6" t="n"/>
      <c r="K139" s="17">
        <f>IF($A139="","",$A139&amp;"|"&amp;COUNTIF($A$2:$A139,$A139))</f>
        <v/>
      </c>
    </row>
    <row r="140">
      <c r="A140" s="29" t="n"/>
      <c r="B140" s="29" t="n"/>
      <c r="C140" s="29" t="n"/>
      <c r="D140" s="34" t="n"/>
      <c r="E140" s="29" t="n"/>
      <c r="F140" s="6" t="n"/>
      <c r="G140" s="6" t="n"/>
      <c r="H140" s="31" t="n"/>
      <c r="I140" s="6" t="n"/>
      <c r="J140" s="6" t="n"/>
      <c r="K140" s="17">
        <f>IF($A140="","",$A140&amp;"|"&amp;COUNTIF($A$2:$A140,$A140))</f>
        <v/>
      </c>
    </row>
    <row r="141">
      <c r="A141" s="29" t="n"/>
      <c r="B141" s="29" t="n"/>
      <c r="C141" s="29" t="n"/>
      <c r="D141" s="34" t="n"/>
      <c r="E141" s="29" t="n"/>
      <c r="F141" s="6" t="n"/>
      <c r="G141" s="6" t="n"/>
      <c r="H141" s="31" t="n"/>
      <c r="I141" s="6" t="n"/>
      <c r="J141" s="6" t="n"/>
      <c r="K141" s="17">
        <f>IF($A141="","",$A141&amp;"|"&amp;COUNTIF($A$2:$A141,$A141))</f>
        <v/>
      </c>
    </row>
    <row r="142">
      <c r="A142" s="29" t="n"/>
      <c r="B142" s="29" t="n"/>
      <c r="C142" s="29" t="n"/>
      <c r="D142" s="34" t="n"/>
      <c r="E142" s="29" t="n"/>
      <c r="F142" s="6" t="n"/>
      <c r="G142" s="6" t="n"/>
      <c r="H142" s="31" t="n"/>
      <c r="I142" s="6" t="n"/>
      <c r="J142" s="6" t="n"/>
      <c r="K142" s="17">
        <f>IF($A142="","",$A142&amp;"|"&amp;COUNTIF($A$2:$A142,$A142))</f>
        <v/>
      </c>
    </row>
    <row r="143">
      <c r="A143" s="29" t="n"/>
      <c r="B143" s="29" t="n"/>
      <c r="C143" s="29" t="n"/>
      <c r="D143" s="34" t="n"/>
      <c r="E143" s="29" t="n"/>
      <c r="F143" s="6" t="n"/>
      <c r="G143" s="6" t="n"/>
      <c r="H143" s="31" t="n"/>
      <c r="I143" s="6" t="n"/>
      <c r="J143" s="6" t="n"/>
      <c r="K143" s="17">
        <f>IF($A143="","",$A143&amp;"|"&amp;COUNTIF($A$2:$A143,$A143))</f>
        <v/>
      </c>
    </row>
    <row r="144">
      <c r="A144" s="29" t="n"/>
      <c r="B144" s="29" t="n"/>
      <c r="C144" s="29" t="n"/>
      <c r="D144" s="34" t="n"/>
      <c r="E144" s="29" t="n"/>
      <c r="F144" s="6" t="n"/>
      <c r="G144" s="6" t="n"/>
      <c r="H144" s="31" t="n"/>
      <c r="I144" s="6" t="n"/>
      <c r="J144" s="6" t="n"/>
      <c r="K144" s="17">
        <f>IF($A144="","",$A144&amp;"|"&amp;COUNTIF($A$2:$A144,$A144))</f>
        <v/>
      </c>
    </row>
    <row r="145">
      <c r="A145" s="29" t="n"/>
      <c r="B145" s="29" t="n"/>
      <c r="C145" s="29" t="n"/>
      <c r="D145" s="34" t="n"/>
      <c r="E145" s="29" t="n"/>
      <c r="F145" s="6" t="n"/>
      <c r="G145" s="6" t="n"/>
      <c r="H145" s="31" t="n"/>
      <c r="I145" s="6" t="n"/>
      <c r="J145" s="6" t="n"/>
      <c r="K145" s="17">
        <f>IF($A145="","",$A145&amp;"|"&amp;COUNTIF($A$2:$A145,$A145))</f>
        <v/>
      </c>
    </row>
    <row r="146">
      <c r="A146" s="29" t="n"/>
      <c r="B146" s="29" t="n"/>
      <c r="C146" s="29" t="n"/>
      <c r="D146" s="34" t="n"/>
      <c r="E146" s="29" t="n"/>
      <c r="F146" s="6" t="n"/>
      <c r="G146" s="6" t="n"/>
      <c r="H146" s="31" t="n"/>
      <c r="I146" s="6" t="n"/>
      <c r="J146" s="6" t="n"/>
      <c r="K146" s="17">
        <f>IF($A146="","",$A146&amp;"|"&amp;COUNTIF($A$2:$A146,$A146))</f>
        <v/>
      </c>
    </row>
    <row r="147">
      <c r="A147" s="29" t="n"/>
      <c r="B147" s="29" t="n"/>
      <c r="C147" s="29" t="n"/>
      <c r="D147" s="34" t="n"/>
      <c r="E147" s="29" t="n"/>
      <c r="F147" s="6" t="n"/>
      <c r="G147" s="6" t="n"/>
      <c r="H147" s="31" t="n"/>
      <c r="I147" s="6" t="n"/>
      <c r="J147" s="6" t="n"/>
      <c r="K147" s="17">
        <f>IF($A147="","",$A147&amp;"|"&amp;COUNTIF($A$2:$A147,$A147))</f>
        <v/>
      </c>
    </row>
    <row r="148">
      <c r="A148" s="29" t="n"/>
      <c r="B148" s="29" t="n"/>
      <c r="C148" s="29" t="n"/>
      <c r="D148" s="34" t="n"/>
      <c r="E148" s="29" t="n"/>
      <c r="F148" s="6" t="n"/>
      <c r="G148" s="6" t="n"/>
      <c r="H148" s="31" t="n"/>
      <c r="I148" s="6" t="n"/>
      <c r="J148" s="6" t="n"/>
      <c r="K148" s="17">
        <f>IF($A148="","",$A148&amp;"|"&amp;COUNTIF($A$2:$A148,$A148))</f>
        <v/>
      </c>
    </row>
    <row r="149">
      <c r="A149" s="29" t="n"/>
      <c r="B149" s="29" t="n"/>
      <c r="C149" s="29" t="n"/>
      <c r="D149" s="34" t="n"/>
      <c r="E149" s="29" t="n"/>
      <c r="F149" s="6" t="n"/>
      <c r="G149" s="6" t="n"/>
      <c r="H149" s="31" t="n"/>
      <c r="I149" s="6" t="n"/>
      <c r="J149" s="6" t="n"/>
      <c r="K149" s="17">
        <f>IF($A149="","",$A149&amp;"|"&amp;COUNTIF($A$2:$A149,$A149))</f>
        <v/>
      </c>
    </row>
    <row r="150">
      <c r="A150" s="29" t="n"/>
      <c r="B150" s="29" t="n"/>
      <c r="C150" s="29" t="n"/>
      <c r="D150" s="34" t="n"/>
      <c r="E150" s="29" t="n"/>
      <c r="F150" s="6" t="n"/>
      <c r="G150" s="6" t="n"/>
      <c r="H150" s="31" t="n"/>
      <c r="I150" s="6" t="n"/>
      <c r="J150" s="6" t="n"/>
      <c r="K150" s="17">
        <f>IF($A150="","",$A150&amp;"|"&amp;COUNTIF($A$2:$A150,$A150))</f>
        <v/>
      </c>
    </row>
    <row r="151">
      <c r="A151" s="29" t="n"/>
      <c r="B151" s="29" t="n"/>
      <c r="C151" s="29" t="n"/>
      <c r="D151" s="34" t="n"/>
      <c r="E151" s="29" t="n"/>
      <c r="F151" s="6" t="n"/>
      <c r="G151" s="6" t="n"/>
      <c r="H151" s="31" t="n"/>
      <c r="I151" s="6" t="n"/>
      <c r="J151" s="6" t="n"/>
      <c r="K151" s="17">
        <f>IF($A151="","",$A151&amp;"|"&amp;COUNTIF($A$2:$A151,$A151))</f>
        <v/>
      </c>
    </row>
    <row r="152">
      <c r="A152" s="29" t="n"/>
      <c r="B152" s="29" t="n"/>
      <c r="C152" s="29" t="n"/>
      <c r="D152" s="34" t="n"/>
      <c r="E152" s="29" t="n"/>
      <c r="F152" s="6" t="n"/>
      <c r="G152" s="6" t="n"/>
      <c r="H152" s="31" t="n"/>
      <c r="I152" s="6" t="n"/>
      <c r="J152" s="6" t="n"/>
      <c r="K152" s="17">
        <f>IF($A152="","",$A152&amp;"|"&amp;COUNTIF($A$2:$A152,$A152))</f>
        <v/>
      </c>
    </row>
    <row r="153">
      <c r="A153" s="29" t="n"/>
      <c r="B153" s="29" t="n"/>
      <c r="C153" s="29" t="n"/>
      <c r="D153" s="34" t="n"/>
      <c r="E153" s="29" t="n"/>
      <c r="F153" s="6" t="n"/>
      <c r="G153" s="6" t="n"/>
      <c r="H153" s="31" t="n"/>
      <c r="I153" s="6" t="n"/>
      <c r="J153" s="6" t="n"/>
      <c r="K153" s="17">
        <f>IF($A153="","",$A153&amp;"|"&amp;COUNTIF($A$2:$A153,$A153))</f>
        <v/>
      </c>
    </row>
    <row r="154">
      <c r="A154" s="29" t="n"/>
      <c r="B154" s="29" t="n"/>
      <c r="C154" s="29" t="n"/>
      <c r="D154" s="34" t="n"/>
      <c r="E154" s="29" t="n"/>
      <c r="F154" s="6" t="n"/>
      <c r="G154" s="6" t="n"/>
      <c r="H154" s="31" t="n"/>
      <c r="I154" s="6" t="n"/>
      <c r="J154" s="6" t="n"/>
      <c r="K154" s="17">
        <f>IF($A154="","",$A154&amp;"|"&amp;COUNTIF($A$2:$A154,$A154))</f>
        <v/>
      </c>
    </row>
    <row r="155">
      <c r="A155" s="29" t="n"/>
      <c r="B155" s="29" t="n"/>
      <c r="C155" s="29" t="n"/>
      <c r="D155" s="34" t="n"/>
      <c r="E155" s="29" t="n"/>
      <c r="F155" s="6" t="n"/>
      <c r="G155" s="6" t="n"/>
      <c r="H155" s="31" t="n"/>
      <c r="I155" s="6" t="n"/>
      <c r="J155" s="6" t="n"/>
      <c r="K155" s="17">
        <f>IF($A155="","",$A155&amp;"|"&amp;COUNTIF($A$2:$A155,$A155))</f>
        <v/>
      </c>
    </row>
    <row r="156">
      <c r="A156" s="29" t="n"/>
      <c r="B156" s="29" t="n"/>
      <c r="C156" s="29" t="n"/>
      <c r="D156" s="34" t="n"/>
      <c r="E156" s="29" t="n"/>
      <c r="F156" s="6" t="n"/>
      <c r="G156" s="6" t="n"/>
      <c r="H156" s="31" t="n"/>
      <c r="I156" s="6" t="n"/>
      <c r="J156" s="6" t="n"/>
      <c r="K156" s="17">
        <f>IF($A156="","",$A156&amp;"|"&amp;COUNTIF($A$2:$A156,$A156))</f>
        <v/>
      </c>
    </row>
    <row r="157">
      <c r="A157" s="29" t="n"/>
      <c r="B157" s="29" t="n"/>
      <c r="C157" s="29" t="n"/>
      <c r="D157" s="34" t="n"/>
      <c r="E157" s="29" t="n"/>
      <c r="F157" s="6" t="n"/>
      <c r="G157" s="6" t="n"/>
      <c r="H157" s="31" t="n"/>
      <c r="I157" s="6" t="n"/>
      <c r="J157" s="6" t="n"/>
      <c r="K157" s="17">
        <f>IF($A157="","",$A157&amp;"|"&amp;COUNTIF($A$2:$A157,$A157))</f>
        <v/>
      </c>
    </row>
    <row r="158">
      <c r="A158" s="29" t="n"/>
      <c r="B158" s="29" t="n"/>
      <c r="C158" s="29" t="n"/>
      <c r="D158" s="34" t="n"/>
      <c r="E158" s="29" t="n"/>
      <c r="F158" s="6" t="n"/>
      <c r="G158" s="6" t="n"/>
      <c r="H158" s="31" t="n"/>
      <c r="I158" s="6" t="n"/>
      <c r="J158" s="6" t="n"/>
      <c r="K158" s="17">
        <f>IF($A158="","",$A158&amp;"|"&amp;COUNTIF($A$2:$A158,$A158))</f>
        <v/>
      </c>
    </row>
    <row r="159">
      <c r="A159" s="29" t="n"/>
      <c r="B159" s="29" t="n"/>
      <c r="C159" s="29" t="n"/>
      <c r="D159" s="34" t="n"/>
      <c r="E159" s="29" t="n"/>
      <c r="F159" s="6" t="n"/>
      <c r="G159" s="6" t="n"/>
      <c r="H159" s="31" t="n"/>
      <c r="I159" s="6" t="n"/>
      <c r="J159" s="6" t="n"/>
      <c r="K159" s="17">
        <f>IF($A159="","",$A159&amp;"|"&amp;COUNTIF($A$2:$A159,$A159))</f>
        <v/>
      </c>
    </row>
    <row r="160">
      <c r="A160" s="29" t="n"/>
      <c r="B160" s="29" t="n"/>
      <c r="C160" s="29" t="n"/>
      <c r="D160" s="34" t="n"/>
      <c r="E160" s="29" t="n"/>
      <c r="F160" s="6" t="n"/>
      <c r="G160" s="6" t="n"/>
      <c r="H160" s="31" t="n"/>
      <c r="I160" s="6" t="n"/>
      <c r="J160" s="6" t="n"/>
      <c r="K160" s="17">
        <f>IF($A160="","",$A160&amp;"|"&amp;COUNTIF($A$2:$A160,$A160))</f>
        <v/>
      </c>
    </row>
    <row r="161">
      <c r="A161" s="29" t="n"/>
      <c r="B161" s="29" t="n"/>
      <c r="C161" s="29" t="n"/>
      <c r="D161" s="34" t="n"/>
      <c r="E161" s="29" t="n"/>
      <c r="F161" s="6" t="n"/>
      <c r="G161" s="6" t="n"/>
      <c r="H161" s="31" t="n"/>
      <c r="I161" s="6" t="n"/>
      <c r="J161" s="6" t="n"/>
      <c r="K161" s="17">
        <f>IF($A161="","",$A161&amp;"|"&amp;COUNTIF($A$2:$A161,$A161))</f>
        <v/>
      </c>
    </row>
    <row r="162">
      <c r="A162" s="29" t="n"/>
      <c r="B162" s="29" t="n"/>
      <c r="C162" s="29" t="n"/>
      <c r="D162" s="34" t="n"/>
      <c r="E162" s="29" t="n"/>
      <c r="F162" s="6" t="n"/>
      <c r="G162" s="6" t="n"/>
      <c r="H162" s="31" t="n"/>
      <c r="I162" s="6" t="n"/>
      <c r="J162" s="6" t="n"/>
      <c r="K162" s="17">
        <f>IF($A162="","",$A162&amp;"|"&amp;COUNTIF($A$2:$A162,$A162))</f>
        <v/>
      </c>
    </row>
    <row r="163">
      <c r="A163" s="29" t="n"/>
      <c r="B163" s="29" t="n"/>
      <c r="C163" s="29" t="n"/>
      <c r="D163" s="34" t="n"/>
      <c r="E163" s="29" t="n"/>
      <c r="F163" s="6" t="n"/>
      <c r="G163" s="6" t="n"/>
      <c r="H163" s="31" t="n"/>
      <c r="I163" s="6" t="n"/>
      <c r="J163" s="6" t="n"/>
      <c r="K163" s="17">
        <f>IF($A163="","",$A163&amp;"|"&amp;COUNTIF($A$2:$A163,$A163))</f>
        <v/>
      </c>
    </row>
    <row r="164">
      <c r="A164" s="29" t="n"/>
      <c r="B164" s="29" t="n"/>
      <c r="C164" s="29" t="n"/>
      <c r="D164" s="34" t="n"/>
      <c r="E164" s="29" t="n"/>
      <c r="F164" s="6" t="n"/>
      <c r="G164" s="6" t="n"/>
      <c r="H164" s="31" t="n"/>
      <c r="I164" s="6" t="n"/>
      <c r="J164" s="6" t="n"/>
      <c r="K164" s="17">
        <f>IF($A164="","",$A164&amp;"|"&amp;COUNTIF($A$2:$A164,$A164))</f>
        <v/>
      </c>
    </row>
    <row r="165">
      <c r="A165" s="29" t="n"/>
      <c r="B165" s="29" t="n"/>
      <c r="C165" s="29" t="n"/>
      <c r="D165" s="34" t="n"/>
      <c r="E165" s="29" t="n"/>
      <c r="F165" s="6" t="n"/>
      <c r="G165" s="6" t="n"/>
      <c r="H165" s="31" t="n"/>
      <c r="I165" s="6" t="n"/>
      <c r="J165" s="6" t="n"/>
      <c r="K165" s="17">
        <f>IF($A165="","",$A165&amp;"|"&amp;COUNTIF($A$2:$A165,$A165))</f>
        <v/>
      </c>
    </row>
    <row r="166">
      <c r="A166" s="29" t="n"/>
      <c r="B166" s="29" t="n"/>
      <c r="C166" s="29" t="n"/>
      <c r="D166" s="34" t="n"/>
      <c r="E166" s="29" t="n"/>
      <c r="F166" s="6" t="n"/>
      <c r="G166" s="6" t="n"/>
      <c r="H166" s="31" t="n"/>
      <c r="I166" s="6" t="n"/>
      <c r="J166" s="6" t="n"/>
      <c r="K166" s="17">
        <f>IF($A166="","",$A166&amp;"|"&amp;COUNTIF($A$2:$A166,$A166))</f>
        <v/>
      </c>
    </row>
    <row r="167">
      <c r="A167" s="29" t="n"/>
      <c r="B167" s="29" t="n"/>
      <c r="C167" s="29" t="n"/>
      <c r="D167" s="34" t="n"/>
      <c r="E167" s="29" t="n"/>
      <c r="F167" s="6" t="n"/>
      <c r="G167" s="6" t="n"/>
      <c r="H167" s="31" t="n"/>
      <c r="I167" s="6" t="n"/>
      <c r="J167" s="6" t="n"/>
      <c r="K167" s="17">
        <f>IF($A167="","",$A167&amp;"|"&amp;COUNTIF($A$2:$A167,$A167))</f>
        <v/>
      </c>
    </row>
    <row r="168">
      <c r="A168" s="29" t="n"/>
      <c r="B168" s="29" t="n"/>
      <c r="C168" s="29" t="n"/>
      <c r="D168" s="34" t="n"/>
      <c r="E168" s="29" t="n"/>
      <c r="F168" s="6" t="n"/>
      <c r="G168" s="6" t="n"/>
      <c r="H168" s="31" t="n"/>
      <c r="I168" s="6" t="n"/>
      <c r="J168" s="6" t="n"/>
      <c r="K168" s="17">
        <f>IF($A168="","",$A168&amp;"|"&amp;COUNTIF($A$2:$A168,$A168))</f>
        <v/>
      </c>
    </row>
    <row r="169">
      <c r="A169" s="29" t="n"/>
      <c r="B169" s="29" t="n"/>
      <c r="C169" s="29" t="n"/>
      <c r="D169" s="34" t="n"/>
      <c r="E169" s="29" t="n"/>
      <c r="F169" s="6" t="n"/>
      <c r="G169" s="6" t="n"/>
      <c r="H169" s="31" t="n"/>
      <c r="I169" s="6" t="n"/>
      <c r="J169" s="6" t="n"/>
      <c r="K169" s="17">
        <f>IF($A169="","",$A169&amp;"|"&amp;COUNTIF($A$2:$A169,$A169))</f>
        <v/>
      </c>
    </row>
    <row r="170">
      <c r="A170" s="29" t="n"/>
      <c r="B170" s="29" t="n"/>
      <c r="C170" s="29" t="n"/>
      <c r="D170" s="34" t="n"/>
      <c r="E170" s="29" t="n"/>
      <c r="F170" s="6" t="n"/>
      <c r="G170" s="6" t="n"/>
      <c r="H170" s="31" t="n"/>
      <c r="I170" s="6" t="n"/>
      <c r="J170" s="6" t="n"/>
      <c r="K170" s="17">
        <f>IF($A170="","",$A170&amp;"|"&amp;COUNTIF($A$2:$A170,$A170))</f>
        <v/>
      </c>
    </row>
    <row r="171">
      <c r="A171" s="29" t="n"/>
      <c r="B171" s="29" t="n"/>
      <c r="C171" s="29" t="n"/>
      <c r="D171" s="34" t="n"/>
      <c r="E171" s="29" t="n"/>
      <c r="F171" s="6" t="n"/>
      <c r="G171" s="6" t="n"/>
      <c r="H171" s="31" t="n"/>
      <c r="I171" s="6" t="n"/>
      <c r="J171" s="6" t="n"/>
      <c r="K171" s="17">
        <f>IF($A171="","",$A171&amp;"|"&amp;COUNTIF($A$2:$A171,$A171))</f>
        <v/>
      </c>
    </row>
    <row r="172">
      <c r="A172" s="29" t="n"/>
      <c r="B172" s="29" t="n"/>
      <c r="C172" s="29" t="n"/>
      <c r="D172" s="34" t="n"/>
      <c r="E172" s="29" t="n"/>
      <c r="F172" s="6" t="n"/>
      <c r="G172" s="6" t="n"/>
      <c r="H172" s="31" t="n"/>
      <c r="I172" s="6" t="n"/>
      <c r="J172" s="6" t="n"/>
      <c r="K172" s="17">
        <f>IF($A172="","",$A172&amp;"|"&amp;COUNTIF($A$2:$A172,$A172))</f>
        <v/>
      </c>
    </row>
    <row r="173">
      <c r="A173" s="29" t="n"/>
      <c r="B173" s="29" t="n"/>
      <c r="C173" s="29" t="n"/>
      <c r="D173" s="34" t="n"/>
      <c r="E173" s="29" t="n"/>
      <c r="F173" s="6" t="n"/>
      <c r="G173" s="6" t="n"/>
      <c r="H173" s="31" t="n"/>
      <c r="I173" s="6" t="n"/>
      <c r="J173" s="6" t="n"/>
      <c r="K173" s="17">
        <f>IF($A173="","",$A173&amp;"|"&amp;COUNTIF($A$2:$A173,$A173))</f>
        <v/>
      </c>
    </row>
    <row r="174">
      <c r="A174" s="29" t="n"/>
      <c r="B174" s="29" t="n"/>
      <c r="C174" s="29" t="n"/>
      <c r="D174" s="34" t="n"/>
      <c r="E174" s="29" t="n"/>
      <c r="F174" s="6" t="n"/>
      <c r="G174" s="6" t="n"/>
      <c r="H174" s="31" t="n"/>
      <c r="I174" s="6" t="n"/>
      <c r="J174" s="6" t="n"/>
      <c r="K174" s="17">
        <f>IF($A174="","",$A174&amp;"|"&amp;COUNTIF($A$2:$A174,$A174))</f>
        <v/>
      </c>
    </row>
    <row r="175">
      <c r="A175" s="29" t="n"/>
      <c r="B175" s="29" t="n"/>
      <c r="C175" s="29" t="n"/>
      <c r="D175" s="34" t="n"/>
      <c r="E175" s="29" t="n"/>
      <c r="F175" s="6" t="n"/>
      <c r="G175" s="6" t="n"/>
      <c r="H175" s="31" t="n"/>
      <c r="I175" s="6" t="n"/>
      <c r="J175" s="6" t="n"/>
      <c r="K175" s="17">
        <f>IF($A175="","",$A175&amp;"|"&amp;COUNTIF($A$2:$A175,$A175))</f>
        <v/>
      </c>
    </row>
    <row r="176">
      <c r="A176" s="29" t="n"/>
      <c r="B176" s="29" t="n"/>
      <c r="C176" s="29" t="n"/>
      <c r="D176" s="34" t="n"/>
      <c r="E176" s="29" t="n"/>
      <c r="F176" s="6" t="n"/>
      <c r="G176" s="6" t="n"/>
      <c r="H176" s="31" t="n"/>
      <c r="I176" s="6" t="n"/>
      <c r="J176" s="6" t="n"/>
      <c r="K176" s="17">
        <f>IF($A176="","",$A176&amp;"|"&amp;COUNTIF($A$2:$A176,$A176))</f>
        <v/>
      </c>
    </row>
    <row r="177">
      <c r="A177" s="29" t="n"/>
      <c r="B177" s="29" t="n"/>
      <c r="C177" s="29" t="n"/>
      <c r="D177" s="34" t="n"/>
      <c r="E177" s="29" t="n"/>
      <c r="F177" s="6" t="n"/>
      <c r="G177" s="6" t="n"/>
      <c r="H177" s="31" t="n"/>
      <c r="I177" s="6" t="n"/>
      <c r="J177" s="6" t="n"/>
      <c r="K177" s="17">
        <f>IF($A177="","",$A177&amp;"|"&amp;COUNTIF($A$2:$A177,$A177))</f>
        <v/>
      </c>
    </row>
    <row r="178">
      <c r="A178" s="29" t="n"/>
      <c r="B178" s="29" t="n"/>
      <c r="C178" s="29" t="n"/>
      <c r="D178" s="34" t="n"/>
      <c r="E178" s="29" t="n"/>
      <c r="F178" s="6" t="n"/>
      <c r="G178" s="6" t="n"/>
      <c r="H178" s="31" t="n"/>
      <c r="I178" s="6" t="n"/>
      <c r="J178" s="6" t="n"/>
      <c r="K178" s="17">
        <f>IF($A178="","",$A178&amp;"|"&amp;COUNTIF($A$2:$A178,$A178))</f>
        <v/>
      </c>
    </row>
    <row r="179">
      <c r="A179" s="29" t="n"/>
      <c r="B179" s="29" t="n"/>
      <c r="C179" s="29" t="n"/>
      <c r="D179" s="34" t="n"/>
      <c r="E179" s="29" t="n"/>
      <c r="F179" s="6" t="n"/>
      <c r="G179" s="6" t="n"/>
      <c r="H179" s="31" t="n"/>
      <c r="I179" s="6" t="n"/>
      <c r="J179" s="6" t="n"/>
      <c r="K179" s="17">
        <f>IF($A179="","",$A179&amp;"|"&amp;COUNTIF($A$2:$A179,$A179))</f>
        <v/>
      </c>
    </row>
    <row r="180">
      <c r="A180" s="29" t="n"/>
      <c r="B180" s="29" t="n"/>
      <c r="C180" s="29" t="n"/>
      <c r="D180" s="34" t="n"/>
      <c r="E180" s="29" t="n"/>
      <c r="F180" s="6" t="n"/>
      <c r="G180" s="6" t="n"/>
      <c r="H180" s="31" t="n"/>
      <c r="I180" s="6" t="n"/>
      <c r="J180" s="6" t="n"/>
      <c r="K180" s="17">
        <f>IF($A180="","",$A180&amp;"|"&amp;COUNTIF($A$2:$A180,$A180))</f>
        <v/>
      </c>
    </row>
    <row r="181">
      <c r="A181" s="29" t="n"/>
      <c r="B181" s="29" t="n"/>
      <c r="C181" s="29" t="n"/>
      <c r="D181" s="34" t="n"/>
      <c r="E181" s="29" t="n"/>
      <c r="F181" s="6" t="n"/>
      <c r="G181" s="6" t="n"/>
      <c r="H181" s="31" t="n"/>
      <c r="I181" s="6" t="n"/>
      <c r="J181" s="6" t="n"/>
      <c r="K181" s="17">
        <f>IF($A181="","",$A181&amp;"|"&amp;COUNTIF($A$2:$A181,$A181))</f>
        <v/>
      </c>
    </row>
    <row r="182">
      <c r="A182" s="29" t="n"/>
      <c r="B182" s="29" t="n"/>
      <c r="C182" s="29" t="n"/>
      <c r="D182" s="34" t="n"/>
      <c r="E182" s="29" t="n"/>
      <c r="F182" s="6" t="n"/>
      <c r="G182" s="6" t="n"/>
      <c r="H182" s="31" t="n"/>
      <c r="I182" s="6" t="n"/>
      <c r="J182" s="6" t="n"/>
      <c r="K182" s="17">
        <f>IF($A182="","",$A182&amp;"|"&amp;COUNTIF($A$2:$A182,$A182))</f>
        <v/>
      </c>
    </row>
    <row r="183">
      <c r="A183" s="29" t="n"/>
      <c r="B183" s="29" t="n"/>
      <c r="C183" s="29" t="n"/>
      <c r="D183" s="34" t="n"/>
      <c r="E183" s="29" t="n"/>
      <c r="F183" s="6" t="n"/>
      <c r="G183" s="6" t="n"/>
      <c r="H183" s="31" t="n"/>
      <c r="I183" s="6" t="n"/>
      <c r="J183" s="6" t="n"/>
      <c r="K183" s="17">
        <f>IF($A183="","",$A183&amp;"|"&amp;COUNTIF($A$2:$A183,$A183))</f>
        <v/>
      </c>
    </row>
    <row r="184">
      <c r="A184" s="29" t="n"/>
      <c r="B184" s="29" t="n"/>
      <c r="C184" s="29" t="n"/>
      <c r="D184" s="34" t="n"/>
      <c r="E184" s="29" t="n"/>
      <c r="F184" s="6" t="n"/>
      <c r="G184" s="6" t="n"/>
      <c r="H184" s="31" t="n"/>
      <c r="I184" s="6" t="n"/>
      <c r="J184" s="6" t="n"/>
      <c r="K184" s="17">
        <f>IF($A184="","",$A184&amp;"|"&amp;COUNTIF($A$2:$A184,$A184))</f>
        <v/>
      </c>
    </row>
    <row r="185">
      <c r="A185" s="29" t="n"/>
      <c r="B185" s="29" t="n"/>
      <c r="C185" s="29" t="n"/>
      <c r="D185" s="34" t="n"/>
      <c r="E185" s="29" t="n"/>
      <c r="F185" s="6" t="n"/>
      <c r="G185" s="6" t="n"/>
      <c r="H185" s="31" t="n"/>
      <c r="I185" s="6" t="n"/>
      <c r="J185" s="6" t="n"/>
      <c r="K185" s="17">
        <f>IF($A185="","",$A185&amp;"|"&amp;COUNTIF($A$2:$A185,$A185))</f>
        <v/>
      </c>
    </row>
    <row r="186">
      <c r="A186" s="29" t="n"/>
      <c r="B186" s="29" t="n"/>
      <c r="C186" s="29" t="n"/>
      <c r="D186" s="34" t="n"/>
      <c r="E186" s="29" t="n"/>
      <c r="F186" s="6" t="n"/>
      <c r="G186" s="6" t="n"/>
      <c r="H186" s="31" t="n"/>
      <c r="I186" s="6" t="n"/>
      <c r="J186" s="6" t="n"/>
      <c r="K186" s="17">
        <f>IF($A186="","",$A186&amp;"|"&amp;COUNTIF($A$2:$A186,$A186))</f>
        <v/>
      </c>
    </row>
    <row r="187">
      <c r="A187" s="29" t="n"/>
      <c r="B187" s="29" t="n"/>
      <c r="C187" s="29" t="n"/>
      <c r="D187" s="34" t="n"/>
      <c r="E187" s="29" t="n"/>
      <c r="F187" s="6" t="n"/>
      <c r="G187" s="6" t="n"/>
      <c r="H187" s="31" t="n"/>
      <c r="I187" s="6" t="n"/>
      <c r="J187" s="6" t="n"/>
      <c r="K187" s="17">
        <f>IF($A187="","",$A187&amp;"|"&amp;COUNTIF($A$2:$A187,$A187))</f>
        <v/>
      </c>
    </row>
    <row r="188">
      <c r="A188" s="29" t="n"/>
      <c r="B188" s="29" t="n"/>
      <c r="C188" s="29" t="n"/>
      <c r="D188" s="34" t="n"/>
      <c r="E188" s="29" t="n"/>
      <c r="F188" s="6" t="n"/>
      <c r="G188" s="6" t="n"/>
      <c r="H188" s="31" t="n"/>
      <c r="I188" s="6" t="n"/>
      <c r="J188" s="6" t="n"/>
      <c r="K188" s="17">
        <f>IF($A188="","",$A188&amp;"|"&amp;COUNTIF($A$2:$A188,$A188))</f>
        <v/>
      </c>
    </row>
    <row r="189">
      <c r="A189" s="29" t="n"/>
      <c r="B189" s="29" t="n"/>
      <c r="C189" s="29" t="n"/>
      <c r="D189" s="34" t="n"/>
      <c r="E189" s="29" t="n"/>
      <c r="F189" s="6" t="n"/>
      <c r="G189" s="6" t="n"/>
      <c r="H189" s="31" t="n"/>
      <c r="I189" s="6" t="n"/>
      <c r="J189" s="6" t="n"/>
      <c r="K189" s="17">
        <f>IF($A189="","",$A189&amp;"|"&amp;COUNTIF($A$2:$A189,$A189))</f>
        <v/>
      </c>
    </row>
    <row r="190">
      <c r="A190" s="29" t="n"/>
      <c r="B190" s="29" t="n"/>
      <c r="C190" s="29" t="n"/>
      <c r="D190" s="34" t="n"/>
      <c r="E190" s="29" t="n"/>
      <c r="F190" s="6" t="n"/>
      <c r="G190" s="6" t="n"/>
      <c r="H190" s="31" t="n"/>
      <c r="I190" s="6" t="n"/>
      <c r="J190" s="6" t="n"/>
      <c r="K190" s="17">
        <f>IF($A190="","",$A190&amp;"|"&amp;COUNTIF($A$2:$A190,$A190))</f>
        <v/>
      </c>
    </row>
    <row r="191">
      <c r="A191" s="29" t="n"/>
      <c r="B191" s="29" t="n"/>
      <c r="C191" s="29" t="n"/>
      <c r="D191" s="34" t="n"/>
      <c r="E191" s="29" t="n"/>
      <c r="F191" s="6" t="n"/>
      <c r="G191" s="6" t="n"/>
      <c r="H191" s="31" t="n"/>
      <c r="I191" s="6" t="n"/>
      <c r="J191" s="6" t="n"/>
      <c r="K191" s="17">
        <f>IF($A191="","",$A191&amp;"|"&amp;COUNTIF($A$2:$A191,$A191))</f>
        <v/>
      </c>
    </row>
    <row r="192">
      <c r="A192" s="29" t="n"/>
      <c r="B192" s="29" t="n"/>
      <c r="C192" s="29" t="n"/>
      <c r="D192" s="34" t="n"/>
      <c r="E192" s="29" t="n"/>
      <c r="F192" s="6" t="n"/>
      <c r="G192" s="6" t="n"/>
      <c r="H192" s="31" t="n"/>
      <c r="I192" s="6" t="n"/>
      <c r="J192" s="6" t="n"/>
      <c r="K192" s="17">
        <f>IF($A192="","",$A192&amp;"|"&amp;COUNTIF($A$2:$A192,$A192))</f>
        <v/>
      </c>
    </row>
    <row r="193">
      <c r="A193" s="29" t="n"/>
      <c r="B193" s="29" t="n"/>
      <c r="C193" s="29" t="n"/>
      <c r="D193" s="34" t="n"/>
      <c r="E193" s="29" t="n"/>
      <c r="F193" s="6" t="n"/>
      <c r="G193" s="6" t="n"/>
      <c r="H193" s="31" t="n"/>
      <c r="I193" s="6" t="n"/>
      <c r="J193" s="6" t="n"/>
      <c r="K193" s="17">
        <f>IF($A193="","",$A193&amp;"|"&amp;COUNTIF($A$2:$A193,$A193))</f>
        <v/>
      </c>
    </row>
    <row r="194">
      <c r="A194" s="29" t="n"/>
      <c r="B194" s="29" t="n"/>
      <c r="C194" s="29" t="n"/>
      <c r="D194" s="34" t="n"/>
      <c r="E194" s="29" t="n"/>
      <c r="F194" s="6" t="n"/>
      <c r="G194" s="6" t="n"/>
      <c r="H194" s="31" t="n"/>
      <c r="I194" s="6" t="n"/>
      <c r="J194" s="6" t="n"/>
      <c r="K194" s="17">
        <f>IF($A194="","",$A194&amp;"|"&amp;COUNTIF($A$2:$A194,$A194))</f>
        <v/>
      </c>
    </row>
    <row r="195">
      <c r="A195" s="29" t="n"/>
      <c r="B195" s="29" t="n"/>
      <c r="C195" s="29" t="n"/>
      <c r="D195" s="34" t="n"/>
      <c r="E195" s="29" t="n"/>
      <c r="F195" s="6" t="n"/>
      <c r="G195" s="6" t="n"/>
      <c r="H195" s="31" t="n"/>
      <c r="I195" s="6" t="n"/>
      <c r="J195" s="6" t="n"/>
      <c r="K195" s="17">
        <f>IF($A195="","",$A195&amp;"|"&amp;COUNTIF($A$2:$A195,$A195))</f>
        <v/>
      </c>
    </row>
    <row r="196">
      <c r="A196" s="29" t="n"/>
      <c r="B196" s="29" t="n"/>
      <c r="C196" s="29" t="n"/>
      <c r="D196" s="34" t="n"/>
      <c r="E196" s="29" t="n"/>
      <c r="F196" s="6" t="n"/>
      <c r="G196" s="6" t="n"/>
      <c r="H196" s="31" t="n"/>
      <c r="I196" s="6" t="n"/>
      <c r="J196" s="6" t="n"/>
      <c r="K196" s="17">
        <f>IF($A196="","",$A196&amp;"|"&amp;COUNTIF($A$2:$A196,$A196))</f>
        <v/>
      </c>
    </row>
    <row r="197">
      <c r="A197" s="29" t="n"/>
      <c r="B197" s="29" t="n"/>
      <c r="C197" s="29" t="n"/>
      <c r="D197" s="34" t="n"/>
      <c r="E197" s="29" t="n"/>
      <c r="F197" s="6" t="n"/>
      <c r="G197" s="6" t="n"/>
      <c r="H197" s="31" t="n"/>
      <c r="I197" s="6" t="n"/>
      <c r="J197" s="6" t="n"/>
      <c r="K197" s="17">
        <f>IF($A197="","",$A197&amp;"|"&amp;COUNTIF($A$2:$A197,$A197))</f>
        <v/>
      </c>
    </row>
    <row r="198">
      <c r="A198" s="29" t="n"/>
      <c r="B198" s="29" t="n"/>
      <c r="C198" s="29" t="n"/>
      <c r="D198" s="34" t="n"/>
      <c r="E198" s="29" t="n"/>
      <c r="F198" s="6" t="n"/>
      <c r="G198" s="6" t="n"/>
      <c r="H198" s="31" t="n"/>
      <c r="I198" s="6" t="n"/>
      <c r="J198" s="6" t="n"/>
      <c r="K198" s="17">
        <f>IF($A198="","",$A198&amp;"|"&amp;COUNTIF($A$2:$A198,$A198))</f>
        <v/>
      </c>
    </row>
    <row r="199">
      <c r="A199" s="29" t="n"/>
      <c r="B199" s="29" t="n"/>
      <c r="C199" s="29" t="n"/>
      <c r="D199" s="34" t="n"/>
      <c r="E199" s="29" t="n"/>
      <c r="F199" s="6" t="n"/>
      <c r="G199" s="6" t="n"/>
      <c r="H199" s="31" t="n"/>
      <c r="I199" s="6" t="n"/>
      <c r="J199" s="6" t="n"/>
      <c r="K199" s="17">
        <f>IF($A199="","",$A199&amp;"|"&amp;COUNTIF($A$2:$A199,$A199))</f>
        <v/>
      </c>
    </row>
    <row r="200">
      <c r="A200" s="29" t="n"/>
      <c r="B200" s="29" t="n"/>
      <c r="C200" s="29" t="n"/>
      <c r="D200" s="34" t="n"/>
      <c r="E200" s="29" t="n"/>
      <c r="F200" s="6" t="n"/>
      <c r="G200" s="6" t="n"/>
      <c r="H200" s="31" t="n"/>
      <c r="I200" s="6" t="n"/>
      <c r="J200" s="6" t="n"/>
      <c r="K200" s="17">
        <f>IF($A200="","",$A200&amp;"|"&amp;COUNTIF($A$2:$A200,$A200))</f>
        <v/>
      </c>
    </row>
    <row r="201">
      <c r="A201" s="29" t="n"/>
      <c r="B201" s="29" t="n"/>
      <c r="C201" s="29" t="n"/>
      <c r="D201" s="34" t="n"/>
      <c r="E201" s="29" t="n"/>
      <c r="F201" s="6" t="n"/>
      <c r="G201" s="6" t="n"/>
      <c r="H201" s="31" t="n"/>
      <c r="I201" s="6" t="n"/>
      <c r="J201" s="6" t="n"/>
      <c r="K201" s="17">
        <f>IF($A201="","",$A201&amp;"|"&amp;COUNTIF($A$2:$A201,$A201))</f>
        <v/>
      </c>
    </row>
  </sheetData>
  <autoFilter ref="A1:J201"/>
  <conditionalFormatting sqref="A2:J201">
    <cfRule type="expression" priority="10" dxfId="0">
      <formula>AND(MOD(ROW(),2)=0,$A2&lt;&gt;"")</formula>
    </cfRule>
  </conditionalFormatting>
  <conditionalFormatting sqref="A2:A201">
    <cfRule type="expression" priority="1" dxfId="2">
      <formula>AND($A2&lt;&gt;"",COUNTIF('Title Companies'!$A$2:$A$101,$A2)=0)</formula>
    </cfRule>
  </conditionalFormatting>
  <conditionalFormatting sqref="C2:C201">
    <cfRule type="expression" priority="2" dxfId="3">
      <formula>AND($C2&lt;&gt;"",$D2="",$E2="")</formula>
    </cfRule>
  </conditionalFormatting>
  <dataValidations count="3">
    <dataValidation sqref="A2:A201" showDropDown="0" showInputMessage="0" showErrorMessage="0" allowBlank="1" type="list">
      <formula1>TitleList</formula1>
    </dataValidation>
    <dataValidation sqref="B2:B201" showDropDown="0" showInputMessage="0" showErrorMessage="0" allowBlank="1" type="list">
      <formula1>TitleRoleList</formula1>
    </dataValidation>
    <dataValidation sqref="H2:H201" showDropDown="0" showInputMessage="0" showErrorMessage="0" allowBlank="1" type="list">
      <formula1>"Yes"</formula1>
    </dataValidation>
  </dataValidations>
  <printOptions gridLines="1"/>
  <pageMargins left="0.4" right="0.4" top="0.5" bottom="0.5" header="0.5" footer="0.5"/>
  <pageSetup orientation="landscape" paperSize="1" fitToHeight="0" fitToWidth="1"/>
  <headerFooter>
    <oddHeader/>
    <oddFooter>&amp;L&amp;A&amp;RPage &amp;P of &amp;N</oddFooter>
    <evenHeader/>
    <evenFooter/>
    <firstHeader/>
    <firstFooter/>
  </headerFooter>
</worksheet>
</file>

<file path=xl/worksheets/sheet8.xml><?xml version="1.0" encoding="utf-8"?>
<worksheet xmlns="http://schemas.openxmlformats.org/spreadsheetml/2006/main">
  <sheetPr>
    <tabColor rgb="005B8A6A"/>
    <outlinePr summaryBelow="1" summaryRight="1"/>
    <pageSetUpPr fitToPage="1"/>
  </sheetPr>
  <dimension ref="A1:G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8" customWidth="1" min="2" max="2"/>
    <col width="15" customWidth="1" min="3" max="3"/>
    <col width="30" customWidth="1" min="4" max="4"/>
    <col width="24" customWidth="1" min="5" max="5"/>
    <col width="28" customWidth="1" min="6" max="6"/>
    <col width="50" customWidth="1" min="7" max="7"/>
  </cols>
  <sheetData>
    <row r="1" ht="30" customHeight="1">
      <c r="A1" s="27" t="inlineStr">
        <is>
          <t>Name</t>
        </is>
      </c>
      <c r="B1" s="27" t="inlineStr">
        <is>
          <t>Company or role</t>
        </is>
      </c>
      <c r="C1" s="27" t="inlineStr">
        <is>
          <t>Phone</t>
        </is>
      </c>
      <c r="D1" s="27" t="inlineStr">
        <is>
          <t>Email</t>
        </is>
      </c>
      <c r="E1" s="27" t="inlineStr">
        <is>
          <t>Other phones</t>
        </is>
      </c>
      <c r="F1" s="27" t="inlineStr">
        <is>
          <t>Other emails</t>
        </is>
      </c>
      <c r="G1" s="27" t="inlineStr">
        <is>
          <t>Notes</t>
        </is>
      </c>
    </row>
    <row r="2">
      <c r="A2" s="29" t="n"/>
      <c r="B2" s="29" t="n"/>
      <c r="C2" s="34" t="n"/>
      <c r="D2" s="29" t="n"/>
      <c r="E2" s="6" t="n"/>
      <c r="F2" s="6" t="n"/>
      <c r="G2" s="6" t="n"/>
    </row>
    <row r="3">
      <c r="A3" s="29" t="n"/>
      <c r="B3" s="29" t="n"/>
      <c r="C3" s="34" t="n"/>
      <c r="D3" s="29" t="n"/>
      <c r="E3" s="6" t="n"/>
      <c r="F3" s="6" t="n"/>
      <c r="G3" s="6" t="n"/>
    </row>
    <row r="4">
      <c r="A4" s="29" t="n"/>
      <c r="B4" s="29" t="n"/>
      <c r="C4" s="34" t="n"/>
      <c r="D4" s="29" t="n"/>
      <c r="E4" s="6" t="n"/>
      <c r="F4" s="6" t="n"/>
      <c r="G4" s="6" t="n"/>
    </row>
    <row r="5">
      <c r="A5" s="29" t="n"/>
      <c r="B5" s="29" t="n"/>
      <c r="C5" s="34" t="n"/>
      <c r="D5" s="29" t="n"/>
      <c r="E5" s="6" t="n"/>
      <c r="F5" s="6" t="n"/>
      <c r="G5" s="6" t="n"/>
    </row>
    <row r="6">
      <c r="A6" s="29" t="n"/>
      <c r="B6" s="29" t="n"/>
      <c r="C6" s="34" t="n"/>
      <c r="D6" s="29" t="n"/>
      <c r="E6" s="6" t="n"/>
      <c r="F6" s="6" t="n"/>
      <c r="G6" s="6" t="n"/>
    </row>
    <row r="7">
      <c r="A7" s="29" t="n"/>
      <c r="B7" s="29" t="n"/>
      <c r="C7" s="34" t="n"/>
      <c r="D7" s="29" t="n"/>
      <c r="E7" s="6" t="n"/>
      <c r="F7" s="6" t="n"/>
      <c r="G7" s="6" t="n"/>
    </row>
    <row r="8">
      <c r="A8" s="29" t="n"/>
      <c r="B8" s="29" t="n"/>
      <c r="C8" s="34" t="n"/>
      <c r="D8" s="29" t="n"/>
      <c r="E8" s="6" t="n"/>
      <c r="F8" s="6" t="n"/>
      <c r="G8" s="6" t="n"/>
    </row>
    <row r="9">
      <c r="A9" s="29" t="n"/>
      <c r="B9" s="29" t="n"/>
      <c r="C9" s="34" t="n"/>
      <c r="D9" s="29" t="n"/>
      <c r="E9" s="6" t="n"/>
      <c r="F9" s="6" t="n"/>
      <c r="G9" s="6" t="n"/>
    </row>
    <row r="10">
      <c r="A10" s="29" t="n"/>
      <c r="B10" s="29" t="n"/>
      <c r="C10" s="34" t="n"/>
      <c r="D10" s="29" t="n"/>
      <c r="E10" s="6" t="n"/>
      <c r="F10" s="6" t="n"/>
      <c r="G10" s="6" t="n"/>
    </row>
    <row r="11">
      <c r="A11" s="29" t="n"/>
      <c r="B11" s="29" t="n"/>
      <c r="C11" s="34" t="n"/>
      <c r="D11" s="29" t="n"/>
      <c r="E11" s="6" t="n"/>
      <c r="F11" s="6" t="n"/>
      <c r="G11" s="6" t="n"/>
    </row>
    <row r="12">
      <c r="A12" s="29" t="n"/>
      <c r="B12" s="29" t="n"/>
      <c r="C12" s="34" t="n"/>
      <c r="D12" s="29" t="n"/>
      <c r="E12" s="6" t="n"/>
      <c r="F12" s="6" t="n"/>
      <c r="G12" s="6" t="n"/>
    </row>
    <row r="13">
      <c r="A13" s="29" t="n"/>
      <c r="B13" s="29" t="n"/>
      <c r="C13" s="34" t="n"/>
      <c r="D13" s="29" t="n"/>
      <c r="E13" s="6" t="n"/>
      <c r="F13" s="6" t="n"/>
      <c r="G13" s="6" t="n"/>
    </row>
    <row r="14">
      <c r="A14" s="29" t="n"/>
      <c r="B14" s="29" t="n"/>
      <c r="C14" s="34" t="n"/>
      <c r="D14" s="29" t="n"/>
      <c r="E14" s="6" t="n"/>
      <c r="F14" s="6" t="n"/>
      <c r="G14" s="6" t="n"/>
    </row>
    <row r="15">
      <c r="A15" s="29" t="n"/>
      <c r="B15" s="29" t="n"/>
      <c r="C15" s="34" t="n"/>
      <c r="D15" s="29" t="n"/>
      <c r="E15" s="6" t="n"/>
      <c r="F15" s="6" t="n"/>
      <c r="G15" s="6" t="n"/>
    </row>
    <row r="16">
      <c r="A16" s="29" t="n"/>
      <c r="B16" s="29" t="n"/>
      <c r="C16" s="34" t="n"/>
      <c r="D16" s="29" t="n"/>
      <c r="E16" s="6" t="n"/>
      <c r="F16" s="6" t="n"/>
      <c r="G16" s="6" t="n"/>
    </row>
    <row r="17">
      <c r="A17" s="29" t="n"/>
      <c r="B17" s="29" t="n"/>
      <c r="C17" s="34" t="n"/>
      <c r="D17" s="29" t="n"/>
      <c r="E17" s="6" t="n"/>
      <c r="F17" s="6" t="n"/>
      <c r="G17" s="6" t="n"/>
    </row>
    <row r="18">
      <c r="A18" s="29" t="n"/>
      <c r="B18" s="29" t="n"/>
      <c r="C18" s="34" t="n"/>
      <c r="D18" s="29" t="n"/>
      <c r="E18" s="6" t="n"/>
      <c r="F18" s="6" t="n"/>
      <c r="G18" s="6" t="n"/>
    </row>
    <row r="19">
      <c r="A19" s="29" t="n"/>
      <c r="B19" s="29" t="n"/>
      <c r="C19" s="34" t="n"/>
      <c r="D19" s="29" t="n"/>
      <c r="E19" s="6" t="n"/>
      <c r="F19" s="6" t="n"/>
      <c r="G19" s="6" t="n"/>
    </row>
    <row r="20">
      <c r="A20" s="29" t="n"/>
      <c r="B20" s="29" t="n"/>
      <c r="C20" s="34" t="n"/>
      <c r="D20" s="29" t="n"/>
      <c r="E20" s="6" t="n"/>
      <c r="F20" s="6" t="n"/>
      <c r="G20" s="6" t="n"/>
    </row>
    <row r="21">
      <c r="A21" s="29" t="n"/>
      <c r="B21" s="29" t="n"/>
      <c r="C21" s="34" t="n"/>
      <c r="D21" s="29" t="n"/>
      <c r="E21" s="6" t="n"/>
      <c r="F21" s="6" t="n"/>
      <c r="G21" s="6" t="n"/>
    </row>
    <row r="22">
      <c r="A22" s="29" t="n"/>
      <c r="B22" s="29" t="n"/>
      <c r="C22" s="34" t="n"/>
      <c r="D22" s="29" t="n"/>
      <c r="E22" s="6" t="n"/>
      <c r="F22" s="6" t="n"/>
      <c r="G22" s="6" t="n"/>
    </row>
    <row r="23">
      <c r="A23" s="29" t="n"/>
      <c r="B23" s="29" t="n"/>
      <c r="C23" s="34" t="n"/>
      <c r="D23" s="29" t="n"/>
      <c r="E23" s="6" t="n"/>
      <c r="F23" s="6" t="n"/>
      <c r="G23" s="6" t="n"/>
    </row>
    <row r="24">
      <c r="A24" s="29" t="n"/>
      <c r="B24" s="29" t="n"/>
      <c r="C24" s="34" t="n"/>
      <c r="D24" s="29" t="n"/>
      <c r="E24" s="6" t="n"/>
      <c r="F24" s="6" t="n"/>
      <c r="G24" s="6" t="n"/>
    </row>
    <row r="25">
      <c r="A25" s="29" t="n"/>
      <c r="B25" s="29" t="n"/>
      <c r="C25" s="34" t="n"/>
      <c r="D25" s="29" t="n"/>
      <c r="E25" s="6" t="n"/>
      <c r="F25" s="6" t="n"/>
      <c r="G25" s="6" t="n"/>
    </row>
    <row r="26">
      <c r="A26" s="29" t="n"/>
      <c r="B26" s="29" t="n"/>
      <c r="C26" s="34" t="n"/>
      <c r="D26" s="29" t="n"/>
      <c r="E26" s="6" t="n"/>
      <c r="F26" s="6" t="n"/>
      <c r="G26" s="6" t="n"/>
    </row>
    <row r="27">
      <c r="A27" s="29" t="n"/>
      <c r="B27" s="29" t="n"/>
      <c r="C27" s="34" t="n"/>
      <c r="D27" s="29" t="n"/>
      <c r="E27" s="6" t="n"/>
      <c r="F27" s="6" t="n"/>
      <c r="G27" s="6" t="n"/>
    </row>
    <row r="28">
      <c r="A28" s="29" t="n"/>
      <c r="B28" s="29" t="n"/>
      <c r="C28" s="34" t="n"/>
      <c r="D28" s="29" t="n"/>
      <c r="E28" s="6" t="n"/>
      <c r="F28" s="6" t="n"/>
      <c r="G28" s="6" t="n"/>
    </row>
    <row r="29">
      <c r="A29" s="29" t="n"/>
      <c r="B29" s="29" t="n"/>
      <c r="C29" s="34" t="n"/>
      <c r="D29" s="29" t="n"/>
      <c r="E29" s="6" t="n"/>
      <c r="F29" s="6" t="n"/>
      <c r="G29" s="6" t="n"/>
    </row>
    <row r="30">
      <c r="A30" s="29" t="n"/>
      <c r="B30" s="29" t="n"/>
      <c r="C30" s="34" t="n"/>
      <c r="D30" s="29" t="n"/>
      <c r="E30" s="6" t="n"/>
      <c r="F30" s="6" t="n"/>
      <c r="G30" s="6" t="n"/>
    </row>
    <row r="31">
      <c r="A31" s="29" t="n"/>
      <c r="B31" s="29" t="n"/>
      <c r="C31" s="34" t="n"/>
      <c r="D31" s="29" t="n"/>
      <c r="E31" s="6" t="n"/>
      <c r="F31" s="6" t="n"/>
      <c r="G31" s="6" t="n"/>
    </row>
    <row r="32">
      <c r="A32" s="29" t="n"/>
      <c r="B32" s="29" t="n"/>
      <c r="C32" s="34" t="n"/>
      <c r="D32" s="29" t="n"/>
      <c r="E32" s="6" t="n"/>
      <c r="F32" s="6" t="n"/>
      <c r="G32" s="6" t="n"/>
    </row>
    <row r="33">
      <c r="A33" s="29" t="n"/>
      <c r="B33" s="29" t="n"/>
      <c r="C33" s="34" t="n"/>
      <c r="D33" s="29" t="n"/>
      <c r="E33" s="6" t="n"/>
      <c r="F33" s="6" t="n"/>
      <c r="G33" s="6" t="n"/>
    </row>
    <row r="34">
      <c r="A34" s="29" t="n"/>
      <c r="B34" s="29" t="n"/>
      <c r="C34" s="34" t="n"/>
      <c r="D34" s="29" t="n"/>
      <c r="E34" s="6" t="n"/>
      <c r="F34" s="6" t="n"/>
      <c r="G34" s="6" t="n"/>
    </row>
    <row r="35">
      <c r="A35" s="29" t="n"/>
      <c r="B35" s="29" t="n"/>
      <c r="C35" s="34" t="n"/>
      <c r="D35" s="29" t="n"/>
      <c r="E35" s="6" t="n"/>
      <c r="F35" s="6" t="n"/>
      <c r="G35" s="6" t="n"/>
    </row>
    <row r="36">
      <c r="A36" s="29" t="n"/>
      <c r="B36" s="29" t="n"/>
      <c r="C36" s="34" t="n"/>
      <c r="D36" s="29" t="n"/>
      <c r="E36" s="6" t="n"/>
      <c r="F36" s="6" t="n"/>
      <c r="G36" s="6" t="n"/>
    </row>
    <row r="37">
      <c r="A37" s="29" t="n"/>
      <c r="B37" s="29" t="n"/>
      <c r="C37" s="34" t="n"/>
      <c r="D37" s="29" t="n"/>
      <c r="E37" s="6" t="n"/>
      <c r="F37" s="6" t="n"/>
      <c r="G37" s="6" t="n"/>
    </row>
    <row r="38">
      <c r="A38" s="29" t="n"/>
      <c r="B38" s="29" t="n"/>
      <c r="C38" s="34" t="n"/>
      <c r="D38" s="29" t="n"/>
      <c r="E38" s="6" t="n"/>
      <c r="F38" s="6" t="n"/>
      <c r="G38" s="6" t="n"/>
    </row>
    <row r="39">
      <c r="A39" s="29" t="n"/>
      <c r="B39" s="29" t="n"/>
      <c r="C39" s="34" t="n"/>
      <c r="D39" s="29" t="n"/>
      <c r="E39" s="6" t="n"/>
      <c r="F39" s="6" t="n"/>
      <c r="G39" s="6" t="n"/>
    </row>
    <row r="40">
      <c r="A40" s="29" t="n"/>
      <c r="B40" s="29" t="n"/>
      <c r="C40" s="34" t="n"/>
      <c r="D40" s="29" t="n"/>
      <c r="E40" s="6" t="n"/>
      <c r="F40" s="6" t="n"/>
      <c r="G40" s="6" t="n"/>
    </row>
    <row r="41">
      <c r="A41" s="29" t="n"/>
      <c r="B41" s="29" t="n"/>
      <c r="C41" s="34" t="n"/>
      <c r="D41" s="29" t="n"/>
      <c r="E41" s="6" t="n"/>
      <c r="F41" s="6" t="n"/>
      <c r="G41" s="6" t="n"/>
    </row>
    <row r="42">
      <c r="A42" s="29" t="n"/>
      <c r="B42" s="29" t="n"/>
      <c r="C42" s="34" t="n"/>
      <c r="D42" s="29" t="n"/>
      <c r="E42" s="6" t="n"/>
      <c r="F42" s="6" t="n"/>
      <c r="G42" s="6" t="n"/>
    </row>
    <row r="43">
      <c r="A43" s="29" t="n"/>
      <c r="B43" s="29" t="n"/>
      <c r="C43" s="34" t="n"/>
      <c r="D43" s="29" t="n"/>
      <c r="E43" s="6" t="n"/>
      <c r="F43" s="6" t="n"/>
      <c r="G43" s="6" t="n"/>
    </row>
    <row r="44">
      <c r="A44" s="29" t="n"/>
      <c r="B44" s="29" t="n"/>
      <c r="C44" s="34" t="n"/>
      <c r="D44" s="29" t="n"/>
      <c r="E44" s="6" t="n"/>
      <c r="F44" s="6" t="n"/>
      <c r="G44" s="6" t="n"/>
    </row>
    <row r="45">
      <c r="A45" s="29" t="n"/>
      <c r="B45" s="29" t="n"/>
      <c r="C45" s="34" t="n"/>
      <c r="D45" s="29" t="n"/>
      <c r="E45" s="6" t="n"/>
      <c r="F45" s="6" t="n"/>
      <c r="G45" s="6" t="n"/>
    </row>
    <row r="46">
      <c r="A46" s="29" t="n"/>
      <c r="B46" s="29" t="n"/>
      <c r="C46" s="34" t="n"/>
      <c r="D46" s="29" t="n"/>
      <c r="E46" s="6" t="n"/>
      <c r="F46" s="6" t="n"/>
      <c r="G46" s="6" t="n"/>
    </row>
    <row r="47">
      <c r="A47" s="29" t="n"/>
      <c r="B47" s="29" t="n"/>
      <c r="C47" s="34" t="n"/>
      <c r="D47" s="29" t="n"/>
      <c r="E47" s="6" t="n"/>
      <c r="F47" s="6" t="n"/>
      <c r="G47" s="6" t="n"/>
    </row>
    <row r="48">
      <c r="A48" s="29" t="n"/>
      <c r="B48" s="29" t="n"/>
      <c r="C48" s="34" t="n"/>
      <c r="D48" s="29" t="n"/>
      <c r="E48" s="6" t="n"/>
      <c r="F48" s="6" t="n"/>
      <c r="G48" s="6" t="n"/>
    </row>
    <row r="49">
      <c r="A49" s="29" t="n"/>
      <c r="B49" s="29" t="n"/>
      <c r="C49" s="34" t="n"/>
      <c r="D49" s="29" t="n"/>
      <c r="E49" s="6" t="n"/>
      <c r="F49" s="6" t="n"/>
      <c r="G49" s="6" t="n"/>
    </row>
    <row r="50">
      <c r="A50" s="29" t="n"/>
      <c r="B50" s="29" t="n"/>
      <c r="C50" s="34" t="n"/>
      <c r="D50" s="29" t="n"/>
      <c r="E50" s="6" t="n"/>
      <c r="F50" s="6" t="n"/>
      <c r="G50" s="6" t="n"/>
    </row>
    <row r="51">
      <c r="A51" s="29" t="n"/>
      <c r="B51" s="29" t="n"/>
      <c r="C51" s="34" t="n"/>
      <c r="D51" s="29" t="n"/>
      <c r="E51" s="6" t="n"/>
      <c r="F51" s="6" t="n"/>
      <c r="G51" s="6" t="n"/>
    </row>
    <row r="52">
      <c r="A52" s="29" t="n"/>
      <c r="B52" s="29" t="n"/>
      <c r="C52" s="34" t="n"/>
      <c r="D52" s="29" t="n"/>
      <c r="E52" s="6" t="n"/>
      <c r="F52" s="6" t="n"/>
      <c r="G52" s="6" t="n"/>
    </row>
    <row r="53">
      <c r="A53" s="29" t="n"/>
      <c r="B53" s="29" t="n"/>
      <c r="C53" s="34" t="n"/>
      <c r="D53" s="29" t="n"/>
      <c r="E53" s="6" t="n"/>
      <c r="F53" s="6" t="n"/>
      <c r="G53" s="6" t="n"/>
    </row>
    <row r="54">
      <c r="A54" s="29" t="n"/>
      <c r="B54" s="29" t="n"/>
      <c r="C54" s="34" t="n"/>
      <c r="D54" s="29" t="n"/>
      <c r="E54" s="6" t="n"/>
      <c r="F54" s="6" t="n"/>
      <c r="G54" s="6" t="n"/>
    </row>
    <row r="55">
      <c r="A55" s="29" t="n"/>
      <c r="B55" s="29" t="n"/>
      <c r="C55" s="34" t="n"/>
      <c r="D55" s="29" t="n"/>
      <c r="E55" s="6" t="n"/>
      <c r="F55" s="6" t="n"/>
      <c r="G55" s="6" t="n"/>
    </row>
    <row r="56">
      <c r="A56" s="29" t="n"/>
      <c r="B56" s="29" t="n"/>
      <c r="C56" s="34" t="n"/>
      <c r="D56" s="29" t="n"/>
      <c r="E56" s="6" t="n"/>
      <c r="F56" s="6" t="n"/>
      <c r="G56" s="6" t="n"/>
    </row>
    <row r="57">
      <c r="A57" s="29" t="n"/>
      <c r="B57" s="29" t="n"/>
      <c r="C57" s="34" t="n"/>
      <c r="D57" s="29" t="n"/>
      <c r="E57" s="6" t="n"/>
      <c r="F57" s="6" t="n"/>
      <c r="G57" s="6" t="n"/>
    </row>
    <row r="58">
      <c r="A58" s="29" t="n"/>
      <c r="B58" s="29" t="n"/>
      <c r="C58" s="34" t="n"/>
      <c r="D58" s="29" t="n"/>
      <c r="E58" s="6" t="n"/>
      <c r="F58" s="6" t="n"/>
      <c r="G58" s="6" t="n"/>
    </row>
    <row r="59">
      <c r="A59" s="29" t="n"/>
      <c r="B59" s="29" t="n"/>
      <c r="C59" s="34" t="n"/>
      <c r="D59" s="29" t="n"/>
      <c r="E59" s="6" t="n"/>
      <c r="F59" s="6" t="n"/>
      <c r="G59" s="6" t="n"/>
    </row>
    <row r="60">
      <c r="A60" s="29" t="n"/>
      <c r="B60" s="29" t="n"/>
      <c r="C60" s="34" t="n"/>
      <c r="D60" s="29" t="n"/>
      <c r="E60" s="6" t="n"/>
      <c r="F60" s="6" t="n"/>
      <c r="G60" s="6" t="n"/>
    </row>
    <row r="61">
      <c r="A61" s="29" t="n"/>
      <c r="B61" s="29" t="n"/>
      <c r="C61" s="34" t="n"/>
      <c r="D61" s="29" t="n"/>
      <c r="E61" s="6" t="n"/>
      <c r="F61" s="6" t="n"/>
      <c r="G61" s="6" t="n"/>
    </row>
    <row r="62">
      <c r="A62" s="29" t="n"/>
      <c r="B62" s="29" t="n"/>
      <c r="C62" s="34" t="n"/>
      <c r="D62" s="29" t="n"/>
      <c r="E62" s="6" t="n"/>
      <c r="F62" s="6" t="n"/>
      <c r="G62" s="6" t="n"/>
    </row>
    <row r="63">
      <c r="A63" s="29" t="n"/>
      <c r="B63" s="29" t="n"/>
      <c r="C63" s="34" t="n"/>
      <c r="D63" s="29" t="n"/>
      <c r="E63" s="6" t="n"/>
      <c r="F63" s="6" t="n"/>
      <c r="G63" s="6" t="n"/>
    </row>
    <row r="64">
      <c r="A64" s="29" t="n"/>
      <c r="B64" s="29" t="n"/>
      <c r="C64" s="34" t="n"/>
      <c r="D64" s="29" t="n"/>
      <c r="E64" s="6" t="n"/>
      <c r="F64" s="6" t="n"/>
      <c r="G64" s="6" t="n"/>
    </row>
    <row r="65">
      <c r="A65" s="29" t="n"/>
      <c r="B65" s="29" t="n"/>
      <c r="C65" s="34" t="n"/>
      <c r="D65" s="29" t="n"/>
      <c r="E65" s="6" t="n"/>
      <c r="F65" s="6" t="n"/>
      <c r="G65" s="6" t="n"/>
    </row>
    <row r="66">
      <c r="A66" s="29" t="n"/>
      <c r="B66" s="29" t="n"/>
      <c r="C66" s="34" t="n"/>
      <c r="D66" s="29" t="n"/>
      <c r="E66" s="6" t="n"/>
      <c r="F66" s="6" t="n"/>
      <c r="G66" s="6" t="n"/>
    </row>
    <row r="67">
      <c r="A67" s="29" t="n"/>
      <c r="B67" s="29" t="n"/>
      <c r="C67" s="34" t="n"/>
      <c r="D67" s="29" t="n"/>
      <c r="E67" s="6" t="n"/>
      <c r="F67" s="6" t="n"/>
      <c r="G67" s="6" t="n"/>
    </row>
    <row r="68">
      <c r="A68" s="29" t="n"/>
      <c r="B68" s="29" t="n"/>
      <c r="C68" s="34" t="n"/>
      <c r="D68" s="29" t="n"/>
      <c r="E68" s="6" t="n"/>
      <c r="F68" s="6" t="n"/>
      <c r="G68" s="6" t="n"/>
    </row>
    <row r="69">
      <c r="A69" s="29" t="n"/>
      <c r="B69" s="29" t="n"/>
      <c r="C69" s="34" t="n"/>
      <c r="D69" s="29" t="n"/>
      <c r="E69" s="6" t="n"/>
      <c r="F69" s="6" t="n"/>
      <c r="G69" s="6" t="n"/>
    </row>
    <row r="70">
      <c r="A70" s="29" t="n"/>
      <c r="B70" s="29" t="n"/>
      <c r="C70" s="34" t="n"/>
      <c r="D70" s="29" t="n"/>
      <c r="E70" s="6" t="n"/>
      <c r="F70" s="6" t="n"/>
      <c r="G70" s="6" t="n"/>
    </row>
    <row r="71">
      <c r="A71" s="29" t="n"/>
      <c r="B71" s="29" t="n"/>
      <c r="C71" s="34" t="n"/>
      <c r="D71" s="29" t="n"/>
      <c r="E71" s="6" t="n"/>
      <c r="F71" s="6" t="n"/>
      <c r="G71" s="6" t="n"/>
    </row>
    <row r="72">
      <c r="A72" s="29" t="n"/>
      <c r="B72" s="29" t="n"/>
      <c r="C72" s="34" t="n"/>
      <c r="D72" s="29" t="n"/>
      <c r="E72" s="6" t="n"/>
      <c r="F72" s="6" t="n"/>
      <c r="G72" s="6" t="n"/>
    </row>
    <row r="73">
      <c r="A73" s="29" t="n"/>
      <c r="B73" s="29" t="n"/>
      <c r="C73" s="34" t="n"/>
      <c r="D73" s="29" t="n"/>
      <c r="E73" s="6" t="n"/>
      <c r="F73" s="6" t="n"/>
      <c r="G73" s="6" t="n"/>
    </row>
    <row r="74">
      <c r="A74" s="29" t="n"/>
      <c r="B74" s="29" t="n"/>
      <c r="C74" s="34" t="n"/>
      <c r="D74" s="29" t="n"/>
      <c r="E74" s="6" t="n"/>
      <c r="F74" s="6" t="n"/>
      <c r="G74" s="6" t="n"/>
    </row>
    <row r="75">
      <c r="A75" s="29" t="n"/>
      <c r="B75" s="29" t="n"/>
      <c r="C75" s="34" t="n"/>
      <c r="D75" s="29" t="n"/>
      <c r="E75" s="6" t="n"/>
      <c r="F75" s="6" t="n"/>
      <c r="G75" s="6" t="n"/>
    </row>
    <row r="76">
      <c r="A76" s="29" t="n"/>
      <c r="B76" s="29" t="n"/>
      <c r="C76" s="34" t="n"/>
      <c r="D76" s="29" t="n"/>
      <c r="E76" s="6" t="n"/>
      <c r="F76" s="6" t="n"/>
      <c r="G76" s="6" t="n"/>
    </row>
    <row r="77">
      <c r="A77" s="29" t="n"/>
      <c r="B77" s="29" t="n"/>
      <c r="C77" s="34" t="n"/>
      <c r="D77" s="29" t="n"/>
      <c r="E77" s="6" t="n"/>
      <c r="F77" s="6" t="n"/>
      <c r="G77" s="6" t="n"/>
    </row>
    <row r="78">
      <c r="A78" s="29" t="n"/>
      <c r="B78" s="29" t="n"/>
      <c r="C78" s="34" t="n"/>
      <c r="D78" s="29" t="n"/>
      <c r="E78" s="6" t="n"/>
      <c r="F78" s="6" t="n"/>
      <c r="G78" s="6" t="n"/>
    </row>
    <row r="79">
      <c r="A79" s="29" t="n"/>
      <c r="B79" s="29" t="n"/>
      <c r="C79" s="34" t="n"/>
      <c r="D79" s="29" t="n"/>
      <c r="E79" s="6" t="n"/>
      <c r="F79" s="6" t="n"/>
      <c r="G79" s="6" t="n"/>
    </row>
    <row r="80">
      <c r="A80" s="29" t="n"/>
      <c r="B80" s="29" t="n"/>
      <c r="C80" s="34" t="n"/>
      <c r="D80" s="29" t="n"/>
      <c r="E80" s="6" t="n"/>
      <c r="F80" s="6" t="n"/>
      <c r="G80" s="6" t="n"/>
    </row>
    <row r="81">
      <c r="A81" s="29" t="n"/>
      <c r="B81" s="29" t="n"/>
      <c r="C81" s="34" t="n"/>
      <c r="D81" s="29" t="n"/>
      <c r="E81" s="6" t="n"/>
      <c r="F81" s="6" t="n"/>
      <c r="G81" s="6" t="n"/>
    </row>
    <row r="82">
      <c r="A82" s="29" t="n"/>
      <c r="B82" s="29" t="n"/>
      <c r="C82" s="34" t="n"/>
      <c r="D82" s="29" t="n"/>
      <c r="E82" s="6" t="n"/>
      <c r="F82" s="6" t="n"/>
      <c r="G82" s="6" t="n"/>
    </row>
    <row r="83">
      <c r="A83" s="29" t="n"/>
      <c r="B83" s="29" t="n"/>
      <c r="C83" s="34" t="n"/>
      <c r="D83" s="29" t="n"/>
      <c r="E83" s="6" t="n"/>
      <c r="F83" s="6" t="n"/>
      <c r="G83" s="6" t="n"/>
    </row>
    <row r="84">
      <c r="A84" s="29" t="n"/>
      <c r="B84" s="29" t="n"/>
      <c r="C84" s="34" t="n"/>
      <c r="D84" s="29" t="n"/>
      <c r="E84" s="6" t="n"/>
      <c r="F84" s="6" t="n"/>
      <c r="G84" s="6" t="n"/>
    </row>
    <row r="85">
      <c r="A85" s="29" t="n"/>
      <c r="B85" s="29" t="n"/>
      <c r="C85" s="34" t="n"/>
      <c r="D85" s="29" t="n"/>
      <c r="E85" s="6" t="n"/>
      <c r="F85" s="6" t="n"/>
      <c r="G85" s="6" t="n"/>
    </row>
    <row r="86">
      <c r="A86" s="29" t="n"/>
      <c r="B86" s="29" t="n"/>
      <c r="C86" s="34" t="n"/>
      <c r="D86" s="29" t="n"/>
      <c r="E86" s="6" t="n"/>
      <c r="F86" s="6" t="n"/>
      <c r="G86" s="6" t="n"/>
    </row>
    <row r="87">
      <c r="A87" s="29" t="n"/>
      <c r="B87" s="29" t="n"/>
      <c r="C87" s="34" t="n"/>
      <c r="D87" s="29" t="n"/>
      <c r="E87" s="6" t="n"/>
      <c r="F87" s="6" t="n"/>
      <c r="G87" s="6" t="n"/>
    </row>
    <row r="88">
      <c r="A88" s="29" t="n"/>
      <c r="B88" s="29" t="n"/>
      <c r="C88" s="34" t="n"/>
      <c r="D88" s="29" t="n"/>
      <c r="E88" s="6" t="n"/>
      <c r="F88" s="6" t="n"/>
      <c r="G88" s="6" t="n"/>
    </row>
    <row r="89">
      <c r="A89" s="29" t="n"/>
      <c r="B89" s="29" t="n"/>
      <c r="C89" s="34" t="n"/>
      <c r="D89" s="29" t="n"/>
      <c r="E89" s="6" t="n"/>
      <c r="F89" s="6" t="n"/>
      <c r="G89" s="6" t="n"/>
    </row>
    <row r="90">
      <c r="A90" s="29" t="n"/>
      <c r="B90" s="29" t="n"/>
      <c r="C90" s="34" t="n"/>
      <c r="D90" s="29" t="n"/>
      <c r="E90" s="6" t="n"/>
      <c r="F90" s="6" t="n"/>
      <c r="G90" s="6" t="n"/>
    </row>
    <row r="91">
      <c r="A91" s="29" t="n"/>
      <c r="B91" s="29" t="n"/>
      <c r="C91" s="34" t="n"/>
      <c r="D91" s="29" t="n"/>
      <c r="E91" s="6" t="n"/>
      <c r="F91" s="6" t="n"/>
      <c r="G91" s="6" t="n"/>
    </row>
    <row r="92">
      <c r="A92" s="29" t="n"/>
      <c r="B92" s="29" t="n"/>
      <c r="C92" s="34" t="n"/>
      <c r="D92" s="29" t="n"/>
      <c r="E92" s="6" t="n"/>
      <c r="F92" s="6" t="n"/>
      <c r="G92" s="6" t="n"/>
    </row>
    <row r="93">
      <c r="A93" s="29" t="n"/>
      <c r="B93" s="29" t="n"/>
      <c r="C93" s="34" t="n"/>
      <c r="D93" s="29" t="n"/>
      <c r="E93" s="6" t="n"/>
      <c r="F93" s="6" t="n"/>
      <c r="G93" s="6" t="n"/>
    </row>
    <row r="94">
      <c r="A94" s="29" t="n"/>
      <c r="B94" s="29" t="n"/>
      <c r="C94" s="34" t="n"/>
      <c r="D94" s="29" t="n"/>
      <c r="E94" s="6" t="n"/>
      <c r="F94" s="6" t="n"/>
      <c r="G94" s="6" t="n"/>
    </row>
    <row r="95">
      <c r="A95" s="29" t="n"/>
      <c r="B95" s="29" t="n"/>
      <c r="C95" s="34" t="n"/>
      <c r="D95" s="29" t="n"/>
      <c r="E95" s="6" t="n"/>
      <c r="F95" s="6" t="n"/>
      <c r="G95" s="6" t="n"/>
    </row>
    <row r="96">
      <c r="A96" s="29" t="n"/>
      <c r="B96" s="29" t="n"/>
      <c r="C96" s="34" t="n"/>
      <c r="D96" s="29" t="n"/>
      <c r="E96" s="6" t="n"/>
      <c r="F96" s="6" t="n"/>
      <c r="G96" s="6" t="n"/>
    </row>
    <row r="97">
      <c r="A97" s="29" t="n"/>
      <c r="B97" s="29" t="n"/>
      <c r="C97" s="34" t="n"/>
      <c r="D97" s="29" t="n"/>
      <c r="E97" s="6" t="n"/>
      <c r="F97" s="6" t="n"/>
      <c r="G97" s="6" t="n"/>
    </row>
    <row r="98">
      <c r="A98" s="29" t="n"/>
      <c r="B98" s="29" t="n"/>
      <c r="C98" s="34" t="n"/>
      <c r="D98" s="29" t="n"/>
      <c r="E98" s="6" t="n"/>
      <c r="F98" s="6" t="n"/>
      <c r="G98" s="6" t="n"/>
    </row>
    <row r="99">
      <c r="A99" s="29" t="n"/>
      <c r="B99" s="29" t="n"/>
      <c r="C99" s="34" t="n"/>
      <c r="D99" s="29" t="n"/>
      <c r="E99" s="6" t="n"/>
      <c r="F99" s="6" t="n"/>
      <c r="G99" s="6" t="n"/>
    </row>
    <row r="100">
      <c r="A100" s="29" t="n"/>
      <c r="B100" s="29" t="n"/>
      <c r="C100" s="34" t="n"/>
      <c r="D100" s="29" t="n"/>
      <c r="E100" s="6" t="n"/>
      <c r="F100" s="6" t="n"/>
      <c r="G100" s="6" t="n"/>
    </row>
    <row r="101">
      <c r="A101" s="29" t="n"/>
      <c r="B101" s="29" t="n"/>
      <c r="C101" s="34" t="n"/>
      <c r="D101" s="29" t="n"/>
      <c r="E101" s="6" t="n"/>
      <c r="F101" s="6" t="n"/>
      <c r="G101" s="6" t="n"/>
    </row>
    <row r="102">
      <c r="A102" s="29" t="n"/>
      <c r="B102" s="29" t="n"/>
      <c r="C102" s="34" t="n"/>
      <c r="D102" s="29" t="n"/>
      <c r="E102" s="6" t="n"/>
      <c r="F102" s="6" t="n"/>
      <c r="G102" s="6" t="n"/>
    </row>
    <row r="103">
      <c r="A103" s="29" t="n"/>
      <c r="B103" s="29" t="n"/>
      <c r="C103" s="34" t="n"/>
      <c r="D103" s="29" t="n"/>
      <c r="E103" s="6" t="n"/>
      <c r="F103" s="6" t="n"/>
      <c r="G103" s="6" t="n"/>
    </row>
    <row r="104">
      <c r="A104" s="29" t="n"/>
      <c r="B104" s="29" t="n"/>
      <c r="C104" s="34" t="n"/>
      <c r="D104" s="29" t="n"/>
      <c r="E104" s="6" t="n"/>
      <c r="F104" s="6" t="n"/>
      <c r="G104" s="6" t="n"/>
    </row>
    <row r="105">
      <c r="A105" s="29" t="n"/>
      <c r="B105" s="29" t="n"/>
      <c r="C105" s="34" t="n"/>
      <c r="D105" s="29" t="n"/>
      <c r="E105" s="6" t="n"/>
      <c r="F105" s="6" t="n"/>
      <c r="G105" s="6" t="n"/>
    </row>
    <row r="106">
      <c r="A106" s="29" t="n"/>
      <c r="B106" s="29" t="n"/>
      <c r="C106" s="34" t="n"/>
      <c r="D106" s="29" t="n"/>
      <c r="E106" s="6" t="n"/>
      <c r="F106" s="6" t="n"/>
      <c r="G106" s="6" t="n"/>
    </row>
    <row r="107">
      <c r="A107" s="29" t="n"/>
      <c r="B107" s="29" t="n"/>
      <c r="C107" s="34" t="n"/>
      <c r="D107" s="29" t="n"/>
      <c r="E107" s="6" t="n"/>
      <c r="F107" s="6" t="n"/>
      <c r="G107" s="6" t="n"/>
    </row>
    <row r="108">
      <c r="A108" s="29" t="n"/>
      <c r="B108" s="29" t="n"/>
      <c r="C108" s="34" t="n"/>
      <c r="D108" s="29" t="n"/>
      <c r="E108" s="6" t="n"/>
      <c r="F108" s="6" t="n"/>
      <c r="G108" s="6" t="n"/>
    </row>
    <row r="109">
      <c r="A109" s="29" t="n"/>
      <c r="B109" s="29" t="n"/>
      <c r="C109" s="34" t="n"/>
      <c r="D109" s="29" t="n"/>
      <c r="E109" s="6" t="n"/>
      <c r="F109" s="6" t="n"/>
      <c r="G109" s="6" t="n"/>
    </row>
    <row r="110">
      <c r="A110" s="29" t="n"/>
      <c r="B110" s="29" t="n"/>
      <c r="C110" s="34" t="n"/>
      <c r="D110" s="29" t="n"/>
      <c r="E110" s="6" t="n"/>
      <c r="F110" s="6" t="n"/>
      <c r="G110" s="6" t="n"/>
    </row>
    <row r="111">
      <c r="A111" s="29" t="n"/>
      <c r="B111" s="29" t="n"/>
      <c r="C111" s="34" t="n"/>
      <c r="D111" s="29" t="n"/>
      <c r="E111" s="6" t="n"/>
      <c r="F111" s="6" t="n"/>
      <c r="G111" s="6" t="n"/>
    </row>
    <row r="112">
      <c r="A112" s="29" t="n"/>
      <c r="B112" s="29" t="n"/>
      <c r="C112" s="34" t="n"/>
      <c r="D112" s="29" t="n"/>
      <c r="E112" s="6" t="n"/>
      <c r="F112" s="6" t="n"/>
      <c r="G112" s="6" t="n"/>
    </row>
    <row r="113">
      <c r="A113" s="29" t="n"/>
      <c r="B113" s="29" t="n"/>
      <c r="C113" s="34" t="n"/>
      <c r="D113" s="29" t="n"/>
      <c r="E113" s="6" t="n"/>
      <c r="F113" s="6" t="n"/>
      <c r="G113" s="6" t="n"/>
    </row>
    <row r="114">
      <c r="A114" s="29" t="n"/>
      <c r="B114" s="29" t="n"/>
      <c r="C114" s="34" t="n"/>
      <c r="D114" s="29" t="n"/>
      <c r="E114" s="6" t="n"/>
      <c r="F114" s="6" t="n"/>
      <c r="G114" s="6" t="n"/>
    </row>
    <row r="115">
      <c r="A115" s="29" t="n"/>
      <c r="B115" s="29" t="n"/>
      <c r="C115" s="34" t="n"/>
      <c r="D115" s="29" t="n"/>
      <c r="E115" s="6" t="n"/>
      <c r="F115" s="6" t="n"/>
      <c r="G115" s="6" t="n"/>
    </row>
    <row r="116">
      <c r="A116" s="29" t="n"/>
      <c r="B116" s="29" t="n"/>
      <c r="C116" s="34" t="n"/>
      <c r="D116" s="29" t="n"/>
      <c r="E116" s="6" t="n"/>
      <c r="F116" s="6" t="n"/>
      <c r="G116" s="6" t="n"/>
    </row>
    <row r="117">
      <c r="A117" s="29" t="n"/>
      <c r="B117" s="29" t="n"/>
      <c r="C117" s="34" t="n"/>
      <c r="D117" s="29" t="n"/>
      <c r="E117" s="6" t="n"/>
      <c r="F117" s="6" t="n"/>
      <c r="G117" s="6" t="n"/>
    </row>
    <row r="118">
      <c r="A118" s="29" t="n"/>
      <c r="B118" s="29" t="n"/>
      <c r="C118" s="34" t="n"/>
      <c r="D118" s="29" t="n"/>
      <c r="E118" s="6" t="n"/>
      <c r="F118" s="6" t="n"/>
      <c r="G118" s="6" t="n"/>
    </row>
    <row r="119">
      <c r="A119" s="29" t="n"/>
      <c r="B119" s="29" t="n"/>
      <c r="C119" s="34" t="n"/>
      <c r="D119" s="29" t="n"/>
      <c r="E119" s="6" t="n"/>
      <c r="F119" s="6" t="n"/>
      <c r="G119" s="6" t="n"/>
    </row>
    <row r="120">
      <c r="A120" s="29" t="n"/>
      <c r="B120" s="29" t="n"/>
      <c r="C120" s="34" t="n"/>
      <c r="D120" s="29" t="n"/>
      <c r="E120" s="6" t="n"/>
      <c r="F120" s="6" t="n"/>
      <c r="G120" s="6" t="n"/>
    </row>
    <row r="121">
      <c r="A121" s="29" t="n"/>
      <c r="B121" s="29" t="n"/>
      <c r="C121" s="34" t="n"/>
      <c r="D121" s="29" t="n"/>
      <c r="E121" s="6" t="n"/>
      <c r="F121" s="6" t="n"/>
      <c r="G121" s="6" t="n"/>
    </row>
    <row r="122">
      <c r="A122" s="29" t="n"/>
      <c r="B122" s="29" t="n"/>
      <c r="C122" s="34" t="n"/>
      <c r="D122" s="29" t="n"/>
      <c r="E122" s="6" t="n"/>
      <c r="F122" s="6" t="n"/>
      <c r="G122" s="6" t="n"/>
    </row>
    <row r="123">
      <c r="A123" s="29" t="n"/>
      <c r="B123" s="29" t="n"/>
      <c r="C123" s="34" t="n"/>
      <c r="D123" s="29" t="n"/>
      <c r="E123" s="6" t="n"/>
      <c r="F123" s="6" t="n"/>
      <c r="G123" s="6" t="n"/>
    </row>
    <row r="124">
      <c r="A124" s="29" t="n"/>
      <c r="B124" s="29" t="n"/>
      <c r="C124" s="34" t="n"/>
      <c r="D124" s="29" t="n"/>
      <c r="E124" s="6" t="n"/>
      <c r="F124" s="6" t="n"/>
      <c r="G124" s="6" t="n"/>
    </row>
    <row r="125">
      <c r="A125" s="29" t="n"/>
      <c r="B125" s="29" t="n"/>
      <c r="C125" s="34" t="n"/>
      <c r="D125" s="29" t="n"/>
      <c r="E125" s="6" t="n"/>
      <c r="F125" s="6" t="n"/>
      <c r="G125" s="6" t="n"/>
    </row>
    <row r="126">
      <c r="A126" s="29" t="n"/>
      <c r="B126" s="29" t="n"/>
      <c r="C126" s="34" t="n"/>
      <c r="D126" s="29" t="n"/>
      <c r="E126" s="6" t="n"/>
      <c r="F126" s="6" t="n"/>
      <c r="G126" s="6" t="n"/>
    </row>
    <row r="127">
      <c r="A127" s="29" t="n"/>
      <c r="B127" s="29" t="n"/>
      <c r="C127" s="34" t="n"/>
      <c r="D127" s="29" t="n"/>
      <c r="E127" s="6" t="n"/>
      <c r="F127" s="6" t="n"/>
      <c r="G127" s="6" t="n"/>
    </row>
    <row r="128">
      <c r="A128" s="29" t="n"/>
      <c r="B128" s="29" t="n"/>
      <c r="C128" s="34" t="n"/>
      <c r="D128" s="29" t="n"/>
      <c r="E128" s="6" t="n"/>
      <c r="F128" s="6" t="n"/>
      <c r="G128" s="6" t="n"/>
    </row>
    <row r="129">
      <c r="A129" s="29" t="n"/>
      <c r="B129" s="29" t="n"/>
      <c r="C129" s="34" t="n"/>
      <c r="D129" s="29" t="n"/>
      <c r="E129" s="6" t="n"/>
      <c r="F129" s="6" t="n"/>
      <c r="G129" s="6" t="n"/>
    </row>
    <row r="130">
      <c r="A130" s="29" t="n"/>
      <c r="B130" s="29" t="n"/>
      <c r="C130" s="34" t="n"/>
      <c r="D130" s="29" t="n"/>
      <c r="E130" s="6" t="n"/>
      <c r="F130" s="6" t="n"/>
      <c r="G130" s="6" t="n"/>
    </row>
    <row r="131">
      <c r="A131" s="29" t="n"/>
      <c r="B131" s="29" t="n"/>
      <c r="C131" s="34" t="n"/>
      <c r="D131" s="29" t="n"/>
      <c r="E131" s="6" t="n"/>
      <c r="F131" s="6" t="n"/>
      <c r="G131" s="6" t="n"/>
    </row>
    <row r="132">
      <c r="A132" s="29" t="n"/>
      <c r="B132" s="29" t="n"/>
      <c r="C132" s="34" t="n"/>
      <c r="D132" s="29" t="n"/>
      <c r="E132" s="6" t="n"/>
      <c r="F132" s="6" t="n"/>
      <c r="G132" s="6" t="n"/>
    </row>
    <row r="133">
      <c r="A133" s="29" t="n"/>
      <c r="B133" s="29" t="n"/>
      <c r="C133" s="34" t="n"/>
      <c r="D133" s="29" t="n"/>
      <c r="E133" s="6" t="n"/>
      <c r="F133" s="6" t="n"/>
      <c r="G133" s="6" t="n"/>
    </row>
    <row r="134">
      <c r="A134" s="29" t="n"/>
      <c r="B134" s="29" t="n"/>
      <c r="C134" s="34" t="n"/>
      <c r="D134" s="29" t="n"/>
      <c r="E134" s="6" t="n"/>
      <c r="F134" s="6" t="n"/>
      <c r="G134" s="6" t="n"/>
    </row>
    <row r="135">
      <c r="A135" s="29" t="n"/>
      <c r="B135" s="29" t="n"/>
      <c r="C135" s="34" t="n"/>
      <c r="D135" s="29" t="n"/>
      <c r="E135" s="6" t="n"/>
      <c r="F135" s="6" t="n"/>
      <c r="G135" s="6" t="n"/>
    </row>
    <row r="136">
      <c r="A136" s="29" t="n"/>
      <c r="B136" s="29" t="n"/>
      <c r="C136" s="34" t="n"/>
      <c r="D136" s="29" t="n"/>
      <c r="E136" s="6" t="n"/>
      <c r="F136" s="6" t="n"/>
      <c r="G136" s="6" t="n"/>
    </row>
    <row r="137">
      <c r="A137" s="29" t="n"/>
      <c r="B137" s="29" t="n"/>
      <c r="C137" s="34" t="n"/>
      <c r="D137" s="29" t="n"/>
      <c r="E137" s="6" t="n"/>
      <c r="F137" s="6" t="n"/>
      <c r="G137" s="6" t="n"/>
    </row>
    <row r="138">
      <c r="A138" s="29" t="n"/>
      <c r="B138" s="29" t="n"/>
      <c r="C138" s="34" t="n"/>
      <c r="D138" s="29" t="n"/>
      <c r="E138" s="6" t="n"/>
      <c r="F138" s="6" t="n"/>
      <c r="G138" s="6" t="n"/>
    </row>
    <row r="139">
      <c r="A139" s="29" t="n"/>
      <c r="B139" s="29" t="n"/>
      <c r="C139" s="34" t="n"/>
      <c r="D139" s="29" t="n"/>
      <c r="E139" s="6" t="n"/>
      <c r="F139" s="6" t="n"/>
      <c r="G139" s="6" t="n"/>
    </row>
    <row r="140">
      <c r="A140" s="29" t="n"/>
      <c r="B140" s="29" t="n"/>
      <c r="C140" s="34" t="n"/>
      <c r="D140" s="29" t="n"/>
      <c r="E140" s="6" t="n"/>
      <c r="F140" s="6" t="n"/>
      <c r="G140" s="6" t="n"/>
    </row>
    <row r="141">
      <c r="A141" s="29" t="n"/>
      <c r="B141" s="29" t="n"/>
      <c r="C141" s="34" t="n"/>
      <c r="D141" s="29" t="n"/>
      <c r="E141" s="6" t="n"/>
      <c r="F141" s="6" t="n"/>
      <c r="G141" s="6" t="n"/>
    </row>
    <row r="142">
      <c r="A142" s="29" t="n"/>
      <c r="B142" s="29" t="n"/>
      <c r="C142" s="34" t="n"/>
      <c r="D142" s="29" t="n"/>
      <c r="E142" s="6" t="n"/>
      <c r="F142" s="6" t="n"/>
      <c r="G142" s="6" t="n"/>
    </row>
    <row r="143">
      <c r="A143" s="29" t="n"/>
      <c r="B143" s="29" t="n"/>
      <c r="C143" s="34" t="n"/>
      <c r="D143" s="29" t="n"/>
      <c r="E143" s="6" t="n"/>
      <c r="F143" s="6" t="n"/>
      <c r="G143" s="6" t="n"/>
    </row>
    <row r="144">
      <c r="A144" s="29" t="n"/>
      <c r="B144" s="29" t="n"/>
      <c r="C144" s="34" t="n"/>
      <c r="D144" s="29" t="n"/>
      <c r="E144" s="6" t="n"/>
      <c r="F144" s="6" t="n"/>
      <c r="G144" s="6" t="n"/>
    </row>
    <row r="145">
      <c r="A145" s="29" t="n"/>
      <c r="B145" s="29" t="n"/>
      <c r="C145" s="34" t="n"/>
      <c r="D145" s="29" t="n"/>
      <c r="E145" s="6" t="n"/>
      <c r="F145" s="6" t="n"/>
      <c r="G145" s="6" t="n"/>
    </row>
    <row r="146">
      <c r="A146" s="29" t="n"/>
      <c r="B146" s="29" t="n"/>
      <c r="C146" s="34" t="n"/>
      <c r="D146" s="29" t="n"/>
      <c r="E146" s="6" t="n"/>
      <c r="F146" s="6" t="n"/>
      <c r="G146" s="6" t="n"/>
    </row>
    <row r="147">
      <c r="A147" s="29" t="n"/>
      <c r="B147" s="29" t="n"/>
      <c r="C147" s="34" t="n"/>
      <c r="D147" s="29" t="n"/>
      <c r="E147" s="6" t="n"/>
      <c r="F147" s="6" t="n"/>
      <c r="G147" s="6" t="n"/>
    </row>
    <row r="148">
      <c r="A148" s="29" t="n"/>
      <c r="B148" s="29" t="n"/>
      <c r="C148" s="34" t="n"/>
      <c r="D148" s="29" t="n"/>
      <c r="E148" s="6" t="n"/>
      <c r="F148" s="6" t="n"/>
      <c r="G148" s="6" t="n"/>
    </row>
    <row r="149">
      <c r="A149" s="29" t="n"/>
      <c r="B149" s="29" t="n"/>
      <c r="C149" s="34" t="n"/>
      <c r="D149" s="29" t="n"/>
      <c r="E149" s="6" t="n"/>
      <c r="F149" s="6" t="n"/>
      <c r="G149" s="6" t="n"/>
    </row>
    <row r="150">
      <c r="A150" s="29" t="n"/>
      <c r="B150" s="29" t="n"/>
      <c r="C150" s="34" t="n"/>
      <c r="D150" s="29" t="n"/>
      <c r="E150" s="6" t="n"/>
      <c r="F150" s="6" t="n"/>
      <c r="G150" s="6" t="n"/>
    </row>
    <row r="151">
      <c r="A151" s="29" t="n"/>
      <c r="B151" s="29" t="n"/>
      <c r="C151" s="34" t="n"/>
      <c r="D151" s="29" t="n"/>
      <c r="E151" s="6" t="n"/>
      <c r="F151" s="6" t="n"/>
      <c r="G151" s="6" t="n"/>
    </row>
    <row r="152">
      <c r="A152" s="29" t="n"/>
      <c r="B152" s="29" t="n"/>
      <c r="C152" s="34" t="n"/>
      <c r="D152" s="29" t="n"/>
      <c r="E152" s="6" t="n"/>
      <c r="F152" s="6" t="n"/>
      <c r="G152" s="6" t="n"/>
    </row>
    <row r="153">
      <c r="A153" s="29" t="n"/>
      <c r="B153" s="29" t="n"/>
      <c r="C153" s="34" t="n"/>
      <c r="D153" s="29" t="n"/>
      <c r="E153" s="6" t="n"/>
      <c r="F153" s="6" t="n"/>
      <c r="G153" s="6" t="n"/>
    </row>
    <row r="154">
      <c r="A154" s="29" t="n"/>
      <c r="B154" s="29" t="n"/>
      <c r="C154" s="34" t="n"/>
      <c r="D154" s="29" t="n"/>
      <c r="E154" s="6" t="n"/>
      <c r="F154" s="6" t="n"/>
      <c r="G154" s="6" t="n"/>
    </row>
    <row r="155">
      <c r="A155" s="29" t="n"/>
      <c r="B155" s="29" t="n"/>
      <c r="C155" s="34" t="n"/>
      <c r="D155" s="29" t="n"/>
      <c r="E155" s="6" t="n"/>
      <c r="F155" s="6" t="n"/>
      <c r="G155" s="6" t="n"/>
    </row>
    <row r="156">
      <c r="A156" s="29" t="n"/>
      <c r="B156" s="29" t="n"/>
      <c r="C156" s="34" t="n"/>
      <c r="D156" s="29" t="n"/>
      <c r="E156" s="6" t="n"/>
      <c r="F156" s="6" t="n"/>
      <c r="G156" s="6" t="n"/>
    </row>
    <row r="157">
      <c r="A157" s="29" t="n"/>
      <c r="B157" s="29" t="n"/>
      <c r="C157" s="34" t="n"/>
      <c r="D157" s="29" t="n"/>
      <c r="E157" s="6" t="n"/>
      <c r="F157" s="6" t="n"/>
      <c r="G157" s="6" t="n"/>
    </row>
    <row r="158">
      <c r="A158" s="29" t="n"/>
      <c r="B158" s="29" t="n"/>
      <c r="C158" s="34" t="n"/>
      <c r="D158" s="29" t="n"/>
      <c r="E158" s="6" t="n"/>
      <c r="F158" s="6" t="n"/>
      <c r="G158" s="6" t="n"/>
    </row>
    <row r="159">
      <c r="A159" s="29" t="n"/>
      <c r="B159" s="29" t="n"/>
      <c r="C159" s="34" t="n"/>
      <c r="D159" s="29" t="n"/>
      <c r="E159" s="6" t="n"/>
      <c r="F159" s="6" t="n"/>
      <c r="G159" s="6" t="n"/>
    </row>
    <row r="160">
      <c r="A160" s="29" t="n"/>
      <c r="B160" s="29" t="n"/>
      <c r="C160" s="34" t="n"/>
      <c r="D160" s="29" t="n"/>
      <c r="E160" s="6" t="n"/>
      <c r="F160" s="6" t="n"/>
      <c r="G160" s="6" t="n"/>
    </row>
    <row r="161">
      <c r="A161" s="29" t="n"/>
      <c r="B161" s="29" t="n"/>
      <c r="C161" s="34" t="n"/>
      <c r="D161" s="29" t="n"/>
      <c r="E161" s="6" t="n"/>
      <c r="F161" s="6" t="n"/>
      <c r="G161" s="6" t="n"/>
    </row>
    <row r="162">
      <c r="A162" s="29" t="n"/>
      <c r="B162" s="29" t="n"/>
      <c r="C162" s="34" t="n"/>
      <c r="D162" s="29" t="n"/>
      <c r="E162" s="6" t="n"/>
      <c r="F162" s="6" t="n"/>
      <c r="G162" s="6" t="n"/>
    </row>
    <row r="163">
      <c r="A163" s="29" t="n"/>
      <c r="B163" s="29" t="n"/>
      <c r="C163" s="34" t="n"/>
      <c r="D163" s="29" t="n"/>
      <c r="E163" s="6" t="n"/>
      <c r="F163" s="6" t="n"/>
      <c r="G163" s="6" t="n"/>
    </row>
    <row r="164">
      <c r="A164" s="29" t="n"/>
      <c r="B164" s="29" t="n"/>
      <c r="C164" s="34" t="n"/>
      <c r="D164" s="29" t="n"/>
      <c r="E164" s="6" t="n"/>
      <c r="F164" s="6" t="n"/>
      <c r="G164" s="6" t="n"/>
    </row>
    <row r="165">
      <c r="A165" s="29" t="n"/>
      <c r="B165" s="29" t="n"/>
      <c r="C165" s="34" t="n"/>
      <c r="D165" s="29" t="n"/>
      <c r="E165" s="6" t="n"/>
      <c r="F165" s="6" t="n"/>
      <c r="G165" s="6" t="n"/>
    </row>
    <row r="166">
      <c r="A166" s="29" t="n"/>
      <c r="B166" s="29" t="n"/>
      <c r="C166" s="34" t="n"/>
      <c r="D166" s="29" t="n"/>
      <c r="E166" s="6" t="n"/>
      <c r="F166" s="6" t="n"/>
      <c r="G166" s="6" t="n"/>
    </row>
    <row r="167">
      <c r="A167" s="29" t="n"/>
      <c r="B167" s="29" t="n"/>
      <c r="C167" s="34" t="n"/>
      <c r="D167" s="29" t="n"/>
      <c r="E167" s="6" t="n"/>
      <c r="F167" s="6" t="n"/>
      <c r="G167" s="6" t="n"/>
    </row>
    <row r="168">
      <c r="A168" s="29" t="n"/>
      <c r="B168" s="29" t="n"/>
      <c r="C168" s="34" t="n"/>
      <c r="D168" s="29" t="n"/>
      <c r="E168" s="6" t="n"/>
      <c r="F168" s="6" t="n"/>
      <c r="G168" s="6" t="n"/>
    </row>
    <row r="169">
      <c r="A169" s="29" t="n"/>
      <c r="B169" s="29" t="n"/>
      <c r="C169" s="34" t="n"/>
      <c r="D169" s="29" t="n"/>
      <c r="E169" s="6" t="n"/>
      <c r="F169" s="6" t="n"/>
      <c r="G169" s="6" t="n"/>
    </row>
    <row r="170">
      <c r="A170" s="29" t="n"/>
      <c r="B170" s="29" t="n"/>
      <c r="C170" s="34" t="n"/>
      <c r="D170" s="29" t="n"/>
      <c r="E170" s="6" t="n"/>
      <c r="F170" s="6" t="n"/>
      <c r="G170" s="6" t="n"/>
    </row>
    <row r="171">
      <c r="A171" s="29" t="n"/>
      <c r="B171" s="29" t="n"/>
      <c r="C171" s="34" t="n"/>
      <c r="D171" s="29" t="n"/>
      <c r="E171" s="6" t="n"/>
      <c r="F171" s="6" t="n"/>
      <c r="G171" s="6" t="n"/>
    </row>
    <row r="172">
      <c r="A172" s="29" t="n"/>
      <c r="B172" s="29" t="n"/>
      <c r="C172" s="34" t="n"/>
      <c r="D172" s="29" t="n"/>
      <c r="E172" s="6" t="n"/>
      <c r="F172" s="6" t="n"/>
      <c r="G172" s="6" t="n"/>
    </row>
    <row r="173">
      <c r="A173" s="29" t="n"/>
      <c r="B173" s="29" t="n"/>
      <c r="C173" s="34" t="n"/>
      <c r="D173" s="29" t="n"/>
      <c r="E173" s="6" t="n"/>
      <c r="F173" s="6" t="n"/>
      <c r="G173" s="6" t="n"/>
    </row>
    <row r="174">
      <c r="A174" s="29" t="n"/>
      <c r="B174" s="29" t="n"/>
      <c r="C174" s="34" t="n"/>
      <c r="D174" s="29" t="n"/>
      <c r="E174" s="6" t="n"/>
      <c r="F174" s="6" t="n"/>
      <c r="G174" s="6" t="n"/>
    </row>
    <row r="175">
      <c r="A175" s="29" t="n"/>
      <c r="B175" s="29" t="n"/>
      <c r="C175" s="34" t="n"/>
      <c r="D175" s="29" t="n"/>
      <c r="E175" s="6" t="n"/>
      <c r="F175" s="6" t="n"/>
      <c r="G175" s="6" t="n"/>
    </row>
    <row r="176">
      <c r="A176" s="29" t="n"/>
      <c r="B176" s="29" t="n"/>
      <c r="C176" s="34" t="n"/>
      <c r="D176" s="29" t="n"/>
      <c r="E176" s="6" t="n"/>
      <c r="F176" s="6" t="n"/>
      <c r="G176" s="6" t="n"/>
    </row>
    <row r="177">
      <c r="A177" s="29" t="n"/>
      <c r="B177" s="29" t="n"/>
      <c r="C177" s="34" t="n"/>
      <c r="D177" s="29" t="n"/>
      <c r="E177" s="6" t="n"/>
      <c r="F177" s="6" t="n"/>
      <c r="G177" s="6" t="n"/>
    </row>
    <row r="178">
      <c r="A178" s="29" t="n"/>
      <c r="B178" s="29" t="n"/>
      <c r="C178" s="34" t="n"/>
      <c r="D178" s="29" t="n"/>
      <c r="E178" s="6" t="n"/>
      <c r="F178" s="6" t="n"/>
      <c r="G178" s="6" t="n"/>
    </row>
    <row r="179">
      <c r="A179" s="29" t="n"/>
      <c r="B179" s="29" t="n"/>
      <c r="C179" s="34" t="n"/>
      <c r="D179" s="29" t="n"/>
      <c r="E179" s="6" t="n"/>
      <c r="F179" s="6" t="n"/>
      <c r="G179" s="6" t="n"/>
    </row>
    <row r="180">
      <c r="A180" s="29" t="n"/>
      <c r="B180" s="29" t="n"/>
      <c r="C180" s="34" t="n"/>
      <c r="D180" s="29" t="n"/>
      <c r="E180" s="6" t="n"/>
      <c r="F180" s="6" t="n"/>
      <c r="G180" s="6" t="n"/>
    </row>
    <row r="181">
      <c r="A181" s="29" t="n"/>
      <c r="B181" s="29" t="n"/>
      <c r="C181" s="34" t="n"/>
      <c r="D181" s="29" t="n"/>
      <c r="E181" s="6" t="n"/>
      <c r="F181" s="6" t="n"/>
      <c r="G181" s="6" t="n"/>
    </row>
    <row r="182">
      <c r="A182" s="29" t="n"/>
      <c r="B182" s="29" t="n"/>
      <c r="C182" s="34" t="n"/>
      <c r="D182" s="29" t="n"/>
      <c r="E182" s="6" t="n"/>
      <c r="F182" s="6" t="n"/>
      <c r="G182" s="6" t="n"/>
    </row>
    <row r="183">
      <c r="A183" s="29" t="n"/>
      <c r="B183" s="29" t="n"/>
      <c r="C183" s="34" t="n"/>
      <c r="D183" s="29" t="n"/>
      <c r="E183" s="6" t="n"/>
      <c r="F183" s="6" t="n"/>
      <c r="G183" s="6" t="n"/>
    </row>
    <row r="184">
      <c r="A184" s="29" t="n"/>
      <c r="B184" s="29" t="n"/>
      <c r="C184" s="34" t="n"/>
      <c r="D184" s="29" t="n"/>
      <c r="E184" s="6" t="n"/>
      <c r="F184" s="6" t="n"/>
      <c r="G184" s="6" t="n"/>
    </row>
    <row r="185">
      <c r="A185" s="29" t="n"/>
      <c r="B185" s="29" t="n"/>
      <c r="C185" s="34" t="n"/>
      <c r="D185" s="29" t="n"/>
      <c r="E185" s="6" t="n"/>
      <c r="F185" s="6" t="n"/>
      <c r="G185" s="6" t="n"/>
    </row>
    <row r="186">
      <c r="A186" s="29" t="n"/>
      <c r="B186" s="29" t="n"/>
      <c r="C186" s="34" t="n"/>
      <c r="D186" s="29" t="n"/>
      <c r="E186" s="6" t="n"/>
      <c r="F186" s="6" t="n"/>
      <c r="G186" s="6" t="n"/>
    </row>
    <row r="187">
      <c r="A187" s="29" t="n"/>
      <c r="B187" s="29" t="n"/>
      <c r="C187" s="34" t="n"/>
      <c r="D187" s="29" t="n"/>
      <c r="E187" s="6" t="n"/>
      <c r="F187" s="6" t="n"/>
      <c r="G187" s="6" t="n"/>
    </row>
    <row r="188">
      <c r="A188" s="29" t="n"/>
      <c r="B188" s="29" t="n"/>
      <c r="C188" s="34" t="n"/>
      <c r="D188" s="29" t="n"/>
      <c r="E188" s="6" t="n"/>
      <c r="F188" s="6" t="n"/>
      <c r="G188" s="6" t="n"/>
    </row>
    <row r="189">
      <c r="A189" s="29" t="n"/>
      <c r="B189" s="29" t="n"/>
      <c r="C189" s="34" t="n"/>
      <c r="D189" s="29" t="n"/>
      <c r="E189" s="6" t="n"/>
      <c r="F189" s="6" t="n"/>
      <c r="G189" s="6" t="n"/>
    </row>
    <row r="190">
      <c r="A190" s="29" t="n"/>
      <c r="B190" s="29" t="n"/>
      <c r="C190" s="34" t="n"/>
      <c r="D190" s="29" t="n"/>
      <c r="E190" s="6" t="n"/>
      <c r="F190" s="6" t="n"/>
      <c r="G190" s="6" t="n"/>
    </row>
    <row r="191">
      <c r="A191" s="29" t="n"/>
      <c r="B191" s="29" t="n"/>
      <c r="C191" s="34" t="n"/>
      <c r="D191" s="29" t="n"/>
      <c r="E191" s="6" t="n"/>
      <c r="F191" s="6" t="n"/>
      <c r="G191" s="6" t="n"/>
    </row>
    <row r="192">
      <c r="A192" s="29" t="n"/>
      <c r="B192" s="29" t="n"/>
      <c r="C192" s="34" t="n"/>
      <c r="D192" s="29" t="n"/>
      <c r="E192" s="6" t="n"/>
      <c r="F192" s="6" t="n"/>
      <c r="G192" s="6" t="n"/>
    </row>
    <row r="193">
      <c r="A193" s="29" t="n"/>
      <c r="B193" s="29" t="n"/>
      <c r="C193" s="34" t="n"/>
      <c r="D193" s="29" t="n"/>
      <c r="E193" s="6" t="n"/>
      <c r="F193" s="6" t="n"/>
      <c r="G193" s="6" t="n"/>
    </row>
    <row r="194">
      <c r="A194" s="29" t="n"/>
      <c r="B194" s="29" t="n"/>
      <c r="C194" s="34" t="n"/>
      <c r="D194" s="29" t="n"/>
      <c r="E194" s="6" t="n"/>
      <c r="F194" s="6" t="n"/>
      <c r="G194" s="6" t="n"/>
    </row>
    <row r="195">
      <c r="A195" s="29" t="n"/>
      <c r="B195" s="29" t="n"/>
      <c r="C195" s="34" t="n"/>
      <c r="D195" s="29" t="n"/>
      <c r="E195" s="6" t="n"/>
      <c r="F195" s="6" t="n"/>
      <c r="G195" s="6" t="n"/>
    </row>
    <row r="196">
      <c r="A196" s="29" t="n"/>
      <c r="B196" s="29" t="n"/>
      <c r="C196" s="34" t="n"/>
      <c r="D196" s="29" t="n"/>
      <c r="E196" s="6" t="n"/>
      <c r="F196" s="6" t="n"/>
      <c r="G196" s="6" t="n"/>
    </row>
    <row r="197">
      <c r="A197" s="29" t="n"/>
      <c r="B197" s="29" t="n"/>
      <c r="C197" s="34" t="n"/>
      <c r="D197" s="29" t="n"/>
      <c r="E197" s="6" t="n"/>
      <c r="F197" s="6" t="n"/>
      <c r="G197" s="6" t="n"/>
    </row>
    <row r="198">
      <c r="A198" s="29" t="n"/>
      <c r="B198" s="29" t="n"/>
      <c r="C198" s="34" t="n"/>
      <c r="D198" s="29" t="n"/>
      <c r="E198" s="6" t="n"/>
      <c r="F198" s="6" t="n"/>
      <c r="G198" s="6" t="n"/>
    </row>
    <row r="199">
      <c r="A199" s="29" t="n"/>
      <c r="B199" s="29" t="n"/>
      <c r="C199" s="34" t="n"/>
      <c r="D199" s="29" t="n"/>
      <c r="E199" s="6" t="n"/>
      <c r="F199" s="6" t="n"/>
      <c r="G199" s="6" t="n"/>
    </row>
    <row r="200">
      <c r="A200" s="29" t="n"/>
      <c r="B200" s="29" t="n"/>
      <c r="C200" s="34" t="n"/>
      <c r="D200" s="29" t="n"/>
      <c r="E200" s="6" t="n"/>
      <c r="F200" s="6" t="n"/>
      <c r="G200" s="6" t="n"/>
    </row>
    <row r="201">
      <c r="A201" s="29" t="n"/>
      <c r="B201" s="29" t="n"/>
      <c r="C201" s="34" t="n"/>
      <c r="D201" s="29" t="n"/>
      <c r="E201" s="6" t="n"/>
      <c r="F201" s="6" t="n"/>
      <c r="G201" s="6" t="n"/>
    </row>
  </sheetData>
  <autoFilter ref="A1:G201"/>
  <conditionalFormatting sqref="A2:G201">
    <cfRule type="expression" priority="10" dxfId="0">
      <formula>AND(MOD(ROW(),2)=0,$A2&lt;&gt;"")</formula>
    </cfRule>
  </conditionalFormatting>
  <conditionalFormatting sqref="A2:A201">
    <cfRule type="expression" priority="1" dxfId="2">
      <formula>AND($A2&lt;&gt;"",COUNTIF($A$2:$A$201,$A2)&gt;1)</formula>
    </cfRule>
  </conditionalFormatting>
  <printOptions gridLines="1"/>
  <pageMargins left="0.4" right="0.4" top="0.5" bottom="0.5" header="0.5" footer="0.5"/>
  <pageSetup orientation="landscape" paperSize="1" fitToHeight="0" fitToWidth="1"/>
  <headerFooter>
    <oddHeader/>
    <oddFooter>&amp;L&amp;A&amp;RPage &amp;P of &amp;N</oddFooter>
    <evenHeader/>
    <evenFooter/>
    <firstHeader/>
    <firstFooter/>
  </headerFooter>
</worksheet>
</file>

<file path=xl/worksheets/sheet9.xml><?xml version="1.0" encoding="utf-8"?>
<worksheet xmlns="http://schemas.openxmlformats.org/spreadsheetml/2006/main">
  <sheetPr>
    <tabColor rgb="009AA3AF"/>
    <outlinePr summaryBelow="1" summaryRight="1"/>
    <pageSetUpPr/>
  </sheetPr>
  <dimension ref="A1:C31"/>
  <sheetViews>
    <sheetView workbookViewId="0">
      <selection activeCell="A1" sqref="A1"/>
    </sheetView>
  </sheetViews>
  <sheetFormatPr baseColWidth="8" defaultRowHeight="15"/>
  <cols>
    <col width="26" customWidth="1" min="1" max="1"/>
    <col width="26" customWidth="1" min="2" max="2"/>
    <col width="90" customWidth="1" min="3" max="3"/>
  </cols>
  <sheetData>
    <row r="1" ht="30" customHeight="1">
      <c r="A1" s="27" t="inlineStr">
        <is>
          <t>Role</t>
        </is>
      </c>
      <c r="B1" s="27" t="inlineStr">
        <is>
          <t>Title role</t>
        </is>
      </c>
      <c r="C1" s="20" t="inlineStr">
        <is>
          <t>Column A feeds the Role dropdown on Contacts, column B the one on Title Contacts. Add a value under the last one to make it selectable.</t>
        </is>
      </c>
    </row>
    <row r="2">
      <c r="A2" s="35" t="n"/>
      <c r="B2" s="35" t="inlineStr">
        <is>
          <t>Escrow Agent</t>
        </is>
      </c>
    </row>
    <row r="3">
      <c r="A3" s="35" t="n"/>
      <c r="B3" s="35" t="inlineStr">
        <is>
          <t>Escrow Assistant</t>
        </is>
      </c>
    </row>
    <row r="4">
      <c r="A4" s="35" t="n"/>
      <c r="B4" s="35" t="inlineStr">
        <is>
          <t>Closer</t>
        </is>
      </c>
    </row>
    <row r="5">
      <c r="A5" s="35" t="n"/>
      <c r="B5" s="35" t="inlineStr">
        <is>
          <t>Title Officer</t>
        </is>
      </c>
    </row>
    <row r="6">
      <c r="A6" s="35" t="n"/>
      <c r="B6" s="35" t="inlineStr">
        <is>
          <t>Processor</t>
        </is>
      </c>
    </row>
    <row r="7">
      <c r="A7" s="35" t="n"/>
      <c r="B7" s="35" t="inlineStr">
        <is>
          <t>Post Closer</t>
        </is>
      </c>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row r="21">
      <c r="A21" s="35" t="n"/>
      <c r="B21" s="35" t="n"/>
    </row>
    <row r="22">
      <c r="A22" s="35" t="n"/>
      <c r="B22" s="35" t="n"/>
    </row>
    <row r="23">
      <c r="A23" s="35" t="n"/>
      <c r="B23" s="35" t="n"/>
    </row>
    <row r="24">
      <c r="A24" s="35" t="n"/>
      <c r="B24" s="35" t="n"/>
    </row>
    <row r="25">
      <c r="A25" s="35" t="n"/>
      <c r="B25" s="35" t="n"/>
    </row>
    <row r="26">
      <c r="A26" s="35" t="n"/>
      <c r="B26" s="35" t="n"/>
    </row>
    <row r="27">
      <c r="A27" s="35" t="n"/>
      <c r="B27" s="35" t="n"/>
    </row>
    <row r="28">
      <c r="A28" s="35" t="n"/>
      <c r="B28" s="35" t="n"/>
    </row>
    <row r="29">
      <c r="A29" s="35" t="n"/>
      <c r="B29" s="35" t="n"/>
    </row>
    <row r="30">
      <c r="A30" s="35" t="n"/>
      <c r="B30" s="35" t="n"/>
    </row>
    <row r="31">
      <c r="A31" s="35" t="n"/>
      <c r="B31" s="3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TRL Contacts</dc:title>
  <dcterms:created xsi:type="dcterms:W3CDTF">2026-09-09T04:59:08Z</dcterms:created>
  <dcterms:modified xsi:type="dcterms:W3CDTF">2026-09-09T04:59:08Z</dcterms:modified>
</cp:coreProperties>
</file>