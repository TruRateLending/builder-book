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TART HERE" sheetId="1" state="visible" r:id="rId1"/>
    <sheet name="Dashboard" sheetId="2" state="visible" r:id="rId2"/>
    <sheet name="Builders" sheetId="3" state="visible" r:id="rId3"/>
    <sheet name="Contacts" sheetId="4" state="visible" r:id="rId4"/>
    <sheet name="Title Companies" sheetId="5" state="visible" r:id="rId5"/>
    <sheet name="Title Contacts" sheetId="6" state="visible" r:id="rId6"/>
    <sheet name="General Contacts" sheetId="7" state="visible" r:id="rId7"/>
    <sheet name="To Fill In" sheetId="8" state="visible" r:id="rId8"/>
    <sheet name="Lists" sheetId="9" state="visible" r:id="rId9"/>
  </sheets>
  <definedNames>
    <definedName name="BuilderList">Builders!$A$2:$A$201</definedName>
    <definedName name="TitleList">'Title Companies'!$A$2:$A$101</definedName>
    <definedName name="RoleList">Lists!$A$2:$A$31</definedName>
    <definedName name="TitleRoleList">Lists!$B$2:$B$7</definedName>
    <definedName name="_xlnm.Print_Area" localSheetId="1">'Dashboard'!$A$1:$F$53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2E6B4F"/>
      <sz val="16"/>
    </font>
    <font>
      <name val="Calibri"/>
      <i val="1"/>
      <color rgb="FF6B7780"/>
      <sz val="10.5"/>
    </font>
    <font>
      <name val="Calibri"/>
      <b val="1"/>
      <color rgb="FF2E6B4F"/>
      <sz val="12"/>
    </font>
    <font>
      <name val="Calibri"/>
      <b val="1"/>
      <color rgb="FF39434B"/>
      <sz val="11"/>
    </font>
    <font>
      <name val="Calibri"/>
      <color rgb="FF39434B"/>
      <sz val="11"/>
    </font>
    <font>
      <name val="Courier New"/>
      <color rgb="FF39434B"/>
      <sz val="10"/>
    </font>
    <font>
      <name val="Calibri"/>
      <b val="1"/>
      <color rgb="FFFFFFFF"/>
      <sz val="16"/>
    </font>
    <font>
      <name val="Calibri"/>
      <b val="1"/>
      <color rgb="FF39434B"/>
      <sz val="12"/>
    </font>
    <font>
      <name val="Calibri"/>
      <b val="1"/>
      <color rgb="FFFFFFFF"/>
      <sz val="11"/>
    </font>
    <font>
      <name val="Calibri"/>
      <color rgb="FF2E6B4F"/>
      <sz val="11"/>
      <u val="single"/>
    </font>
    <font>
      <name val="Calibri"/>
      <i val="1"/>
      <color rgb="FF8A5A1E"/>
      <sz val="11"/>
    </font>
  </fonts>
  <fills count="6">
    <fill>
      <patternFill/>
    </fill>
    <fill>
      <patternFill patternType="gray125"/>
    </fill>
    <fill>
      <patternFill patternType="solid">
        <fgColor rgb="FF275C44"/>
        <bgColor rgb="FF275C44"/>
      </patternFill>
    </fill>
    <fill>
      <patternFill patternType="solid">
        <fgColor rgb="FFFFF2CC"/>
        <bgColor rgb="FFFFF2CC"/>
      </patternFill>
    </fill>
    <fill>
      <patternFill patternType="solid">
        <fgColor rgb="FF2E6B4F"/>
        <bgColor rgb="FF2E6B4F"/>
      </patternFill>
    </fill>
    <fill>
      <patternFill patternType="solid">
        <fgColor rgb="FFE4F2E9"/>
        <bgColor rgb="FFE4F2E9"/>
      </patternFill>
    </fill>
  </fills>
  <borders count="4">
    <border>
      <left/>
      <right/>
      <top/>
      <bottom/>
      <diagonal/>
    </border>
    <border>
      <left style="medium">
        <color rgb="FF2E6B4F"/>
      </left>
      <right style="medium">
        <color rgb="FF2E6B4F"/>
      </right>
      <top style="medium">
        <color rgb="FF2E6B4F"/>
      </top>
      <bottom style="medium">
        <color rgb="FF2E6B4F"/>
      </bottom>
    </border>
    <border>
      <bottom style="thin">
        <color rgb="FFD6E2DB"/>
      </bottom>
    </border>
    <border>
      <left/>
      <right/>
      <top/>
      <bottom style="thin">
        <color rgb="FFD6E2DB"/>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8" fillId="3" borderId="1" applyAlignment="1" applyProtection="1" pivotButton="0" quotePrefix="0" xfId="0">
      <alignment vertical="center"/>
      <protection locked="0" hidden="0"/>
    </xf>
    <xf numFmtId="0" fontId="5" fillId="0" borderId="0" applyAlignment="1" pivotButton="0" quotePrefix="0" xfId="0">
      <alignment vertical="center"/>
    </xf>
    <xf numFmtId="0" fontId="9" fillId="4" borderId="0" applyAlignment="1" pivotButton="0" quotePrefix="0" xfId="0">
      <alignment vertical="center"/>
    </xf>
    <xf numFmtId="0" fontId="4" fillId="0" borderId="0" applyAlignment="1" pivotButton="0" quotePrefix="0" xfId="0">
      <alignment vertical="top"/>
    </xf>
    <xf numFmtId="0" fontId="5" fillId="0" borderId="2" applyAlignment="1" pivotButton="0" quotePrefix="0" xfId="0">
      <alignment vertical="top" wrapText="1"/>
    </xf>
    <xf numFmtId="0" fontId="0" fillId="0" borderId="3" pivotButton="0" quotePrefix="0" xfId="0"/>
    <xf numFmtId="0" fontId="10" fillId="0" borderId="2" applyAlignment="1" pivotButton="0" quotePrefix="0" xfId="0">
      <alignment vertical="top" wrapText="1"/>
    </xf>
    <xf numFmtId="0" fontId="9" fillId="4" borderId="0" applyAlignment="1" pivotButton="0" quotePrefix="0" xfId="0">
      <alignment vertical="center" wrapText="1"/>
    </xf>
    <xf numFmtId="0" fontId="5" fillId="0" borderId="0" applyAlignment="1" pivotButton="0" quotePrefix="0" xfId="0">
      <alignment vertical="top"/>
    </xf>
    <xf numFmtId="0" fontId="10" fillId="0" borderId="0" applyAlignment="1" pivotButton="0" quotePrefix="0" xfId="0">
      <alignment vertical="top"/>
    </xf>
    <xf numFmtId="0" fontId="5" fillId="5" borderId="0" applyAlignment="1" pivotButton="0" quotePrefix="0" xfId="0">
      <alignment vertical="top"/>
    </xf>
    <xf numFmtId="0" fontId="10" fillId="5" borderId="0" applyAlignment="1" pivotButton="0" quotePrefix="0" xfId="0">
      <alignment vertical="top"/>
    </xf>
    <xf numFmtId="0" fontId="5" fillId="5" borderId="0" applyAlignment="1" pivotButton="0" quotePrefix="0" xfId="0">
      <alignment vertical="top" wrapText="1"/>
    </xf>
    <xf numFmtId="0" fontId="11" fillId="0" borderId="0" applyAlignment="1" pivotButton="0" quotePrefix="0" xfId="0">
      <alignment vertical="center"/>
    </xf>
    <xf numFmtId="0" fontId="5" fillId="0" borderId="2" applyAlignment="1" pivotButton="0" quotePrefix="0" xfId="0">
      <alignment vertical="top"/>
    </xf>
    <xf numFmtId="0" fontId="10" fillId="0" borderId="2" applyAlignment="1" pivotButton="0" quotePrefix="0" xfId="0">
      <alignment vertical="top"/>
    </xf>
    <xf numFmtId="0" fontId="4" fillId="5" borderId="0" applyAlignment="1" pivotButton="0" quotePrefix="0" xfId="0">
      <alignment vertical="top"/>
    </xf>
    <xf numFmtId="0" fontId="5" fillId="5" borderId="2" applyAlignment="1" pivotButton="0" quotePrefix="0" xfId="0">
      <alignment vertical="top"/>
    </xf>
    <xf numFmtId="0" fontId="10" fillId="5" borderId="2" applyAlignment="1" pivotButton="0" quotePrefix="0" xfId="0">
      <alignment vertical="top"/>
    </xf>
    <xf numFmtId="0" fontId="0" fillId="5" borderId="0" pivotButton="0" quotePrefix="0" xfId="0"/>
    <xf numFmtId="49" fontId="5" fillId="0" borderId="0" applyAlignment="1" pivotButton="0" quotePrefix="0" xfId="0">
      <alignment vertical="top"/>
    </xf>
    <xf numFmtId="0" fontId="5" fillId="0" borderId="0" applyAlignment="1" pivotButton="0" quotePrefix="0" xfId="0">
      <alignment horizontal="center" vertical="center"/>
    </xf>
    <xf numFmtId="0" fontId="5" fillId="0" borderId="0" pivotButton="0" quotePrefix="0" xfId="0"/>
  </cellXfs>
  <cellStyles count="1">
    <cellStyle name="Normal" xfId="0" builtinId="0" hidden="0"/>
  </cellStyles>
  <dxfs count="6">
    <dxf>
      <font>
        <b val="1"/>
        <color rgb="FF8A5A1E"/>
      </font>
      <fill>
        <patternFill patternType="solid">
          <fgColor rgb="FFFDEBD0"/>
          <bgColor rgb="FFFDEBD0"/>
        </patternFill>
      </fill>
    </dxf>
    <dxf>
      <font>
        <color rgb="FF2E6B4F"/>
      </font>
      <fill>
        <patternFill patternType="solid">
          <fgColor rgb="FFE4F2E9"/>
          <bgColor rgb="FFE4F2E9"/>
        </patternFill>
      </fill>
    </dxf>
    <dxf>
      <font>
        <b val="1"/>
        <color rgb="FF9C1F1F"/>
      </font>
      <fill>
        <patternFill patternType="solid">
          <fgColor rgb="FFF8D2CE"/>
          <bgColor rgb="FFF8D2CE"/>
        </patternFill>
      </fill>
    </dxf>
    <dxf>
      <fill>
        <patternFill patternType="solid">
          <fgColor rgb="FFE4F2E9"/>
          <bgColor rgb="FFE4F2E9"/>
        </patternFill>
      </fill>
    </dxf>
    <dxf>
      <font>
        <color rgb="FF8A5A1E"/>
      </font>
      <fill>
        <patternFill patternType="solid">
          <fgColor rgb="FFFDEBD0"/>
          <bgColor rgb="FFFDEBD0"/>
        </patternFill>
      </fill>
    </dxf>
    <dxf>
      <font>
        <b val="1"/>
        <color rgb="FF9C1F1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B2:C38"/>
  <sheetViews>
    <sheetView showGridLines="0" workbookViewId="0">
      <selection activeCell="A1" sqref="A1"/>
    </sheetView>
  </sheetViews>
  <sheetFormatPr baseColWidth="8" defaultRowHeight="15"/>
  <cols>
    <col width="3" customWidth="1" min="1" max="1"/>
    <col width="30" customWidth="1" min="2" max="2"/>
    <col width="105" customWidth="1" min="3" max="3"/>
  </cols>
  <sheetData>
    <row r="2">
      <c r="B2" s="1" t="inlineStr">
        <is>
          <t>TRL CONTACTS</t>
        </is>
      </c>
    </row>
    <row r="3">
      <c r="B3" s="2" t="inlineStr">
        <is>
          <t>How this workbook works - read this once and you'll never be lost.</t>
        </is>
      </c>
    </row>
    <row r="5">
      <c r="B5" s="3" t="inlineStr">
        <is>
          <t>THE TABS</t>
        </is>
      </c>
    </row>
    <row r="6">
      <c r="B6" s="4" t="inlineStr">
        <is>
          <t>Dashboard  (blue)</t>
        </is>
      </c>
      <c r="C6" s="5" t="inlineStr">
        <is>
          <t>The page everyone uses day to day. Pick a builder in the yellow box and every contact, the concession rules, the Dropbox folder and the escrow team fill in automatically. Emails and the Dropbox link are clickable there.</t>
        </is>
      </c>
    </row>
    <row r="7">
      <c r="B7" s="4" t="inlineStr">
        <is>
          <t>Builders  (green)</t>
        </is>
      </c>
      <c r="C7" s="5" t="inlineStr">
        <is>
          <t>ONE ROW PER BUILDER. Title company, Dropbox link, concession rules, special process, and communication rules (who to CC).</t>
        </is>
      </c>
    </row>
    <row r="8">
      <c r="B8" s="4" t="inlineStr">
        <is>
          <t>Contacts  (green)</t>
        </is>
      </c>
      <c r="C8" s="5" t="inlineStr">
        <is>
          <t>ONE ROW PER PERSON. Pick the builder and their main Role from the dropdowns, then use the 'What They Handle' column to say exactly when to contact them. Columns K and L are hidden helpers - leave them alone.</t>
        </is>
      </c>
    </row>
    <row r="9">
      <c r="B9" s="4" t="inlineStr">
        <is>
          <t>Title Companies  (green)</t>
        </is>
      </c>
      <c r="C9" s="5" t="inlineStr">
        <is>
          <t>ONE ROW PER TITLE COMPANY. Team email, office phone and address. Builders link here by the exact company name. The people are on the next tab.</t>
        </is>
      </c>
    </row>
    <row r="10">
      <c r="B10" s="4" t="inlineStr">
        <is>
          <t>Title Contacts  (green)</t>
        </is>
      </c>
      <c r="C10" s="5" t="inlineStr">
        <is>
          <t>ONE ROW PER PERSON AT A TITLE COMPANY, up to 6 per company - escrow agent, assistant, closer, whoever else. Pick the company and the role from the dropdowns.</t>
        </is>
      </c>
    </row>
    <row r="11">
      <c r="B11" s="4" t="inlineStr">
        <is>
          <t>General Contacts  (green)</t>
        </is>
      </c>
      <c r="C11" s="5" t="inlineStr">
        <is>
          <t>ONE ROW PER PERSON who is not tied to one builder - two phone numbers, two emails and notes. Nothing else on the workbook reads this tab.</t>
        </is>
      </c>
    </row>
    <row r="12">
      <c r="B12" s="4" t="inlineStr">
        <is>
          <t>To Fill In  (orange)</t>
        </is>
      </c>
      <c r="C12" s="5" t="inlineStr">
        <is>
          <t>Automatic gap report. Anything red says MISSING - go fill it in on the green tabs. The '# Missing' column shows how much is left per builder.</t>
        </is>
      </c>
    </row>
    <row r="13">
      <c r="B13" s="4" t="inlineStr">
        <is>
          <t>Lists  (grey)</t>
        </is>
      </c>
      <c r="C13" s="5" t="inlineStr">
        <is>
          <t>Feeds the Role dropdowns. Add a value there to make it selectable.</t>
        </is>
      </c>
    </row>
    <row r="15">
      <c r="B15" s="4" t="inlineStr">
        <is>
          <t>THE ONE RULE</t>
        </is>
      </c>
      <c r="C15" s="5" t="inlineStr">
        <is>
          <t>Builder names and title company names must be spelled EXACTLY the same everywhere they appear - that text is what links the tabs together. Always pick from the dropdowns instead of typing. If a name does not match, the row lights up RED on the green tabs.</t>
        </is>
      </c>
    </row>
    <row r="17">
      <c r="B17" s="4" t="inlineStr">
        <is>
          <t>ADDING A NEW BUILDER</t>
        </is>
      </c>
      <c r="C17" s="5" t="inlineStr">
        <is>
          <t>1) Add the row on Builders.   2) Add their people on Contacts (one row per person).   3) If their title company is new, add it on Title Companies first and its people on Title Contacts, then pick the company in the Builders row.   4) Check To Fill In for what's still missing.</t>
        </is>
      </c>
    </row>
    <row r="18">
      <c r="B18" s="4" t="inlineStr">
        <is>
          <t>UPDATING A PERSON</t>
        </is>
      </c>
      <c r="C18" s="5" t="inlineStr">
        <is>
          <t>Find their one row on Contacts (or Title Contacts) and fix it there - phone, email, role, whatever changed. It updates the Dashboard automatically.</t>
        </is>
      </c>
    </row>
    <row r="20">
      <c r="B20" s="4" t="inlineStr">
        <is>
          <t>NEW TEAM MEMBER? WORKING A FILE?</t>
        </is>
      </c>
      <c r="C20" s="5" t="inlineStr">
        <is>
          <t>1) Open the Dashboard and pick the builder.   2) Read Concessions, Special Process and Communication Rules BEFORE structuring or emailing - most builder-specific mistakes live there.   3) The contact list says exactly who handles builder docs, appraisals, and seller-signed items.</t>
        </is>
      </c>
    </row>
    <row r="22">
      <c r="B22" s="4" t="inlineStr">
        <is>
          <t>YELLOW CELLS</t>
        </is>
      </c>
      <c r="C22" s="5" t="inlineStr">
        <is>
          <t>Yellow = the only cell you touch on the Dashboard (the builder selector). Everything else on that page is a formula.</t>
        </is>
      </c>
    </row>
    <row r="23">
      <c r="B23" s="4" t="inlineStr">
        <is>
          <t>TAB COLORS</t>
        </is>
      </c>
      <c r="C23" s="5" t="inlineStr">
        <is>
          <t>Green tabs = where you type.   Blue and orange tabs = automatic, read-only.   Grey = reference and instructions.</t>
        </is>
      </c>
    </row>
    <row r="24">
      <c r="B24" s="4" t="inlineStr">
        <is>
          <t>RED &amp; AMBER HIGHLIGHTS</t>
        </is>
      </c>
      <c r="C24" s="5" t="inlineStr">
        <is>
          <t>On the green tabs: RED = a name that does not match across tabs, or a duplicate. AMBER = a contact with no phone or email. Fix the spelling (use the dropdown) and the highlight disappears.</t>
        </is>
      </c>
    </row>
    <row r="25">
      <c r="B25" s="4" t="inlineStr">
        <is>
          <t>IF SOMETHING LOOKS WRONG</t>
        </is>
      </c>
      <c r="C25" s="5" t="inlineStr">
        <is>
          <t>A contact or escrow team not showing on the Dashboard is almost always a spelling mismatch in a builder or title company name. Re-pick the name from the dropdown and it will snap back.</t>
        </is>
      </c>
    </row>
    <row r="28">
      <c r="B28" s="3" t="inlineStr">
        <is>
          <t>MAINTENANCE - FOR WHOEVER OWNS THIS FILE NEXT</t>
        </is>
      </c>
    </row>
    <row r="29">
      <c r="B29" s="4" t="inlineStr">
        <is>
          <t>No code, ever</t>
        </is>
      </c>
      <c r="C29" s="5" t="inlineStr">
        <is>
          <t>There are no macros, no scripts, no add-ins. Everything is plain Excel formulas. If Excel ever asks to enable macros, something is wrong - do not.</t>
        </is>
      </c>
    </row>
    <row r="30">
      <c r="B30" s="4" t="inlineStr">
        <is>
          <t>No passwords</t>
        </is>
      </c>
      <c r="C30" s="5" t="inlineStr">
        <is>
          <t>Protected tabs (Dashboard, To Fill In, Start Here) have NO password. Review &gt; Unprotect Sheet unlocks them instantly. Re-protect when you're done.</t>
        </is>
      </c>
    </row>
    <row r="31">
      <c r="B31" s="4" t="inlineStr">
        <is>
          <t>Capacity</t>
        </is>
      </c>
      <c r="C31" s="5" t="inlineStr">
        <is>
          <t>Built for 200 builders, 500 contacts, 100 title companies (6 people each) and 500 general contacts. The formulas stop at those rows - past that, extend (below) or start a second file.</t>
        </is>
      </c>
    </row>
    <row r="32">
      <c r="B32" s="4" t="inlineStr">
        <is>
          <t>Adding a role</t>
        </is>
      </c>
      <c r="C32" s="5" t="inlineStr">
        <is>
          <t>Type it on the Lists tab under the last role. Column A feeds the Contacts role dropdown (30 slots), column B feeds the Title Contacts one. If every slot is used, extend the list: Formulas &gt; Name Manager &gt; RoleList &gt; change $A$31 to the new last row.</t>
        </is>
      </c>
    </row>
    <row r="33">
      <c r="B33" s="4" t="inlineStr">
        <is>
          <t>Extending capacity</t>
        </is>
      </c>
      <c r="C33" s="5" t="inlineStr">
        <is>
          <t>1) Formulas &gt; Name Manager: extend BuilderList / TitleList to the new last row.   2) On Contacts: unhide columns K:L, copy the last row's K and L cells down, re-hide.   3) On Title Contacts: unhide column G and do the same.   4) On To Fill In: unprotect, copy the last row across B:M down as far as needed, re-protect. If that sounds scary, it is easier to start a second file.</t>
        </is>
      </c>
    </row>
    <row r="34">
      <c r="B34" s="4" t="inlineStr">
        <is>
          <t>Hidden helper columns</t>
        </is>
      </c>
      <c r="C34" s="5" t="inlineStr">
        <is>
          <t>Contacts column K builds a key ('Cullers Homes|1', '|2', ...) that the Dashboard uses to list a builder's contacts in order; column L combines the assistant's name / phone / email. Title Contacts column G does the same job for the escrow team. If they ever break, paste these into K2 and L2, then fill down to row 501:</t>
        </is>
      </c>
    </row>
    <row r="35">
      <c r="B35" s="4" t="inlineStr"/>
      <c r="C35" s="6" t="inlineStr">
        <is>
          <t>K2:   =IF($A2="","",$A2&amp;"|"&amp;COUNTIF($A$2:$A2,$A2))</t>
        </is>
      </c>
    </row>
    <row r="36">
      <c r="B36" s="4" t="inlineStr"/>
      <c r="C36" s="6" t="inlineStr">
        <is>
          <t>L2:   =IF($G2="","",$G2&amp;IF($H2="",""," / "&amp;$H2)&amp;IF($I2="",""," / "&amp;$I2))</t>
        </is>
      </c>
    </row>
    <row r="37">
      <c r="B37" s="4" t="inlineStr">
        <is>
          <t>Backups</t>
        </is>
      </c>
      <c r="C37" s="5" t="inlineStr">
        <is>
          <t>The file lives in Dropbox. dropbox.com &gt; the file &gt; Version history restores any earlier version if something breaks.</t>
        </is>
      </c>
    </row>
    <row r="38">
      <c r="B38" s="4" t="inlineStr">
        <is>
          <t>How this file was made</t>
        </is>
      </c>
      <c r="C38" s="5" t="inlineStr">
        <is>
          <t>Exported from the TRL Contacts web app. The web app is the live database - this file is a point-in-time snapshot of it, fully self-contained, standard Excel.</t>
        </is>
      </c>
    </row>
  </sheetData>
  <sheetProtection selectLockedCells="0" selectUnlockedCells="0" sheet="1" objects="0" insertRows="1" insertHyperlinks="1" autoFilter="1" scenarios="0" formatColumns="1" deleteColumns="1" insertColumns="1" pivotTables="1" deleteRows="1" formatCells="1" formatRows="1" sort="1"/>
  <mergeCells count="2">
    <mergeCell ref="B3:C3"/>
    <mergeCell ref="B28:C28"/>
  </mergeCells>
  <pageMargins left="0.75" right="0.75" top="1" bottom="1" header="0.5" footer="0.5"/>
</worksheet>
</file>

<file path=xl/worksheets/sheet2.xml><?xml version="1.0" encoding="utf-8"?>
<worksheet xmlns="http://schemas.openxmlformats.org/spreadsheetml/2006/main">
  <sheetPr>
    <tabColor rgb="002F5D7A"/>
    <outlinePr summaryBelow="1" summaryRight="1"/>
    <pageSetUpPr fitToPage="1"/>
  </sheetPr>
  <dimension ref="A1:H53"/>
  <sheetViews>
    <sheetView showGridLines="0" workbookViewId="0">
      <selection activeCell="A1" sqref="A1"/>
    </sheetView>
  </sheetViews>
  <sheetFormatPr baseColWidth="8" defaultRowHeight="15"/>
  <cols>
    <col width="26" customWidth="1" min="1" max="1"/>
    <col width="30" customWidth="1" min="2" max="2"/>
    <col width="16" customWidth="1" min="3" max="3"/>
    <col width="32" customWidth="1" min="4" max="4"/>
    <col width="48" customWidth="1" min="5" max="5"/>
    <col width="36" customWidth="1" min="6" max="6"/>
    <col width="2" customWidth="1" min="7" max="7"/>
    <col hidden="1" width="12" customWidth="1" min="8" max="8"/>
  </cols>
  <sheetData>
    <row r="1" ht="30" customHeight="1">
      <c r="A1" s="7" t="inlineStr">
        <is>
          <t>BUILDER PROFILE DASHBOARD</t>
        </is>
      </c>
    </row>
    <row r="2">
      <c r="A2" s="8" t="inlineStr">
        <is>
          <t>Pick a builder in the yellow box. Everything below fills in automatically - to change anything, edit the green tabs, never type here. Emails and the Dropbox link are clickable.</t>
        </is>
      </c>
      <c r="H2">
        <f>IFERROR(MATCH($B$4,Builders!$A$2:$A$201,0),"")</f>
        <v/>
      </c>
    </row>
    <row r="3">
      <c r="H3">
        <f>IF($H$2="","",IFERROR(MATCH(INDEX(Builders!$B$2:$B$201,$H$2),'Title Companies'!$A$2:$A$101,0),""))</f>
        <v/>
      </c>
    </row>
    <row r="4" ht="22" customHeight="1">
      <c r="A4" s="9" t="inlineStr">
        <is>
          <t>SELECT BUILDER:</t>
        </is>
      </c>
      <c r="B4" s="10" t="inlineStr"/>
      <c r="D4" s="8" t="inlineStr">
        <is>
          <t>&lt; click the yellow box for the dropdown</t>
        </is>
      </c>
      <c r="H4">
        <f>IF($H$2="","",INDEX(Builders!$B$2:$B$201,$H$2)&amp;"")</f>
        <v/>
      </c>
    </row>
    <row r="5" ht="20" customHeight="1">
      <c r="A5" s="11">
        <f>IF($H$2="","Pick a builder in the yellow box above.",IF($H$5="","Nothing missing - this builder's info is complete.","STILL MISSING: "&amp;LEFT($H$5,LEN($H$5)-2)&amp;"   (fill in on the green tabs)"))</f>
        <v/>
      </c>
      <c r="H5">
        <f>IF($H$2="","",IF(INDEX('To Fill In'!$B$5:$B$204,$H$2)="MISSING","Title Company, ","")&amp;IF(INDEX('To Fill In'!$C$5:$C$204,$H$2)="MISSING","Dropbox, ","")&amp;IF(INDEX('To Fill In'!$D$5:$D$204,$H$2)="MISSING","Concession Terms, ","")&amp;IF(INDEX('To Fill In'!$E$5:$E$204,$H$2)="MISSING","Allowed Uses, ","")&amp;IF(INDEX('To Fill In'!$F$5:$F$204,$H$2)="MISSING","Owner, ","")&amp;IF(INDEX('To Fill In'!$G$5:$G$204,$H$2)="MISSING","Listing Agent, ","")&amp;IF(INDEX('To Fill In'!$H$5:$H$204,$H$2)="MISSING","Builder Rep, ","")&amp;IF(INDEX('To Fill In'!$I$5:$I$204,$H$2)="MISSING","Builder Docs POC, ","")&amp;IF(INDEX('To Fill In'!$J$5:$J$204,$H$2)="MISSING","Appraisal POC, ","")&amp;IF(INDEX('To Fill In'!$K$5:$K$204,$H$2)="MISSING","Escrow Agent, ","")&amp;IF(INDEX('To Fill In'!$L$5:$L$204,$H$2)="MISSING","Escrow Assistant, ",""))</f>
        <v/>
      </c>
    </row>
    <row r="7" ht="20" customHeight="1">
      <c r="A7" s="12" t="inlineStr">
        <is>
          <t>BUILDER OVERVIEW</t>
        </is>
      </c>
    </row>
    <row r="8" ht="18" customHeight="1">
      <c r="A8" s="13" t="inlineStr">
        <is>
          <t>Title Company</t>
        </is>
      </c>
      <c r="B8" s="14">
        <f>IF($H$2="","-",IF(INDEX(Builders!$B$2:$B$201,$H$2)="","-",INDEX(Builders!$B$2:$B$201,$H$2)))</f>
        <v/>
      </c>
      <c r="C8" s="15" t="n"/>
      <c r="D8" s="15" t="n"/>
      <c r="E8" s="15" t="n"/>
      <c r="F8" s="15" t="n"/>
    </row>
    <row r="9" ht="18" customHeight="1">
      <c r="A9" s="13" t="inlineStr">
        <is>
          <t>Dropbox Folder</t>
        </is>
      </c>
      <c r="B9" s="16">
        <f>IF($H$2="","-",IF(INDEX(Builders!$C$2:$C$201,$H$2)="","-",IF(LEFT(INDEX(Builders!$C$2:$C$201,$H$2),4)="http",HYPERLINK(INDEX(Builders!$C$2:$C$201,$H$2),"Open Dropbox folder &gt;&gt;"),INDEX(Builders!$C$2:$C$201,$H$2))))</f>
        <v/>
      </c>
      <c r="C9" s="15" t="n"/>
      <c r="D9" s="15" t="n"/>
      <c r="E9" s="15" t="n"/>
      <c r="F9" s="15" t="n"/>
    </row>
    <row r="10" ht="18" customHeight="1">
      <c r="A10" s="13" t="inlineStr">
        <is>
          <t>Concession Amount / %</t>
        </is>
      </c>
      <c r="B10" s="14">
        <f>IF($H$2="","-",IF(INDEX(Builders!$D$2:$D$201,$H$2)="","-",INDEX(Builders!$D$2:$D$201,$H$2)))</f>
        <v/>
      </c>
      <c r="C10" s="15" t="n"/>
      <c r="D10" s="15" t="n"/>
      <c r="E10" s="15" t="n"/>
      <c r="F10" s="15" t="n"/>
    </row>
    <row r="11" ht="18" customHeight="1">
      <c r="A11" s="13" t="inlineStr">
        <is>
          <t>Calculated From</t>
        </is>
      </c>
      <c r="B11" s="14">
        <f>IF($H$2="","-",IF(INDEX(Builders!$E$2:$E$201,$H$2)="","-",INDEX(Builders!$E$2:$E$201,$H$2)))</f>
        <v/>
      </c>
      <c r="C11" s="15" t="n"/>
      <c r="D11" s="15" t="n"/>
      <c r="E11" s="15" t="n"/>
      <c r="F11" s="15" t="n"/>
    </row>
    <row r="12" ht="60" customHeight="1">
      <c r="A12" s="13" t="inlineStr">
        <is>
          <t>Allowed Uses &amp; Details</t>
        </is>
      </c>
      <c r="B12" s="14">
        <f>IF($H$2="","-",IF(INDEX(Builders!$F$2:$F$201,$H$2)="","-",INDEX(Builders!$F$2:$F$201,$H$2)))</f>
        <v/>
      </c>
      <c r="C12" s="15" t="n"/>
      <c r="D12" s="15" t="n"/>
      <c r="E12" s="15" t="n"/>
      <c r="F12" s="15" t="n"/>
    </row>
    <row r="13" ht="60" customHeight="1">
      <c r="A13" s="13" t="inlineStr">
        <is>
          <t>Special Process &amp; Incentives</t>
        </is>
      </c>
      <c r="B13" s="14">
        <f>IF($H$2="","-",IF(INDEX(Builders!$G$2:$G$201,$H$2)="","-",INDEX(Builders!$G$2:$G$201,$H$2)))</f>
        <v/>
      </c>
      <c r="C13" s="15" t="n"/>
      <c r="D13" s="15" t="n"/>
      <c r="E13" s="15" t="n"/>
      <c r="F13" s="15" t="n"/>
    </row>
    <row r="14" ht="60" customHeight="1">
      <c r="A14" s="13" t="inlineStr">
        <is>
          <t>Communication Rules</t>
        </is>
      </c>
      <c r="B14" s="14">
        <f>IF($H$2="","-",IF(INDEX(Builders!$H$2:$H$201,$H$2)="","-",INDEX(Builders!$H$2:$H$201,$H$2)))</f>
        <v/>
      </c>
      <c r="C14" s="15" t="n"/>
      <c r="D14" s="15" t="n"/>
      <c r="E14" s="15" t="n"/>
      <c r="F14" s="15" t="n"/>
    </row>
    <row r="15" ht="60" customHeight="1">
      <c r="A15" s="13" t="inlineStr">
        <is>
          <t>General Notes</t>
        </is>
      </c>
      <c r="B15" s="14">
        <f>IF($H$2="","-",IF(INDEX(Builders!$I$2:$I$201,$H$2)="","-",INDEX(Builders!$I$2:$I$201,$H$2)))</f>
        <v/>
      </c>
      <c r="C15" s="15" t="n"/>
      <c r="D15" s="15" t="n"/>
      <c r="E15" s="15" t="n"/>
      <c r="F15" s="15" t="n"/>
    </row>
    <row r="17" ht="20" customHeight="1">
      <c r="A17" s="12" t="inlineStr">
        <is>
          <t>ALL CONTACTS FOR THIS BUILDER</t>
        </is>
      </c>
    </row>
    <row r="18" ht="22" customHeight="1">
      <c r="A18" s="17" t="inlineStr">
        <is>
          <t>Role</t>
        </is>
      </c>
      <c r="B18" s="17" t="inlineStr">
        <is>
          <t>Name</t>
        </is>
      </c>
      <c r="C18" s="17" t="inlineStr">
        <is>
          <t>Phone</t>
        </is>
      </c>
      <c r="D18" s="17" t="inlineStr">
        <is>
          <t>Email</t>
        </is>
      </c>
      <c r="E18" s="17" t="inlineStr">
        <is>
          <t>What They Handle / When to Contact</t>
        </is>
      </c>
      <c r="F18" s="17" t="inlineStr">
        <is>
          <t>Assistant (name / phone / email)</t>
        </is>
      </c>
    </row>
    <row r="19" ht="24" customHeight="1">
      <c r="A19" s="18">
        <f>IF(COUNTIF(Contacts!$K$2:$K$501,$B$4&amp;"|"&amp;1)=0,"",INDEX(Contacts!$B$2:$B$501,MATCH($B$4&amp;"|"&amp;1,Contacts!$K$2:$K$501,0))&amp;"")</f>
        <v/>
      </c>
      <c r="B19" s="18">
        <f>IF(COUNTIF(Contacts!$K$2:$K$501,$B$4&amp;"|"&amp;1)=0,"",INDEX(Contacts!$C$2:$C$501,MATCH($B$4&amp;"|"&amp;1,Contacts!$K$2:$K$501,0))&amp;"")</f>
        <v/>
      </c>
      <c r="C19" s="18">
        <f>IF(COUNTIF(Contacts!$K$2:$K$501,$B$4&amp;"|"&amp;1)=0,"",INDEX(Contacts!$D$2:$D$501,MATCH($B$4&amp;"|"&amp;1,Contacts!$K$2:$K$501,0))&amp;"")</f>
        <v/>
      </c>
      <c r="D19" s="19">
        <f>IF($H19="","",IF(ISNUMBER(SEARCH("@",$H19)),HYPERLINK("mailto:"&amp;$H19,$H19),$H19))</f>
        <v/>
      </c>
      <c r="E19" s="5">
        <f>IF(COUNTIF(Contacts!$K$2:$K$501,$B$4&amp;"|"&amp;1)=0,"",INDEX(Contacts!$F$2:$F$501,MATCH($B$4&amp;"|"&amp;1,Contacts!$K$2:$K$501,0))&amp;"")</f>
        <v/>
      </c>
      <c r="F19" s="5">
        <f>IF(COUNTIF(Contacts!$K$2:$K$501,$B$4&amp;"|"&amp;1)=0,"",INDEX(Contacts!$L$2:$L$501,MATCH($B$4&amp;"|"&amp;1,Contacts!$K$2:$K$501,0))&amp;"")</f>
        <v/>
      </c>
      <c r="H19">
        <f>IF(COUNTIF(Contacts!$K$2:$K$501,$B$4&amp;"|"&amp;1)=0,"",INDEX(Contacts!$E$2:$E$501,MATCH($B$4&amp;"|"&amp;1,Contacts!$K$2:$K$501,0))&amp;"")</f>
        <v/>
      </c>
    </row>
    <row r="20" ht="24" customHeight="1">
      <c r="A20" s="20">
        <f>IF(COUNTIF(Contacts!$K$2:$K$501,$B$4&amp;"|"&amp;2)=0,"",INDEX(Contacts!$B$2:$B$501,MATCH($B$4&amp;"|"&amp;2,Contacts!$K$2:$K$501,0))&amp;"")</f>
        <v/>
      </c>
      <c r="B20" s="20">
        <f>IF(COUNTIF(Contacts!$K$2:$K$501,$B$4&amp;"|"&amp;2)=0,"",INDEX(Contacts!$C$2:$C$501,MATCH($B$4&amp;"|"&amp;2,Contacts!$K$2:$K$501,0))&amp;"")</f>
        <v/>
      </c>
      <c r="C20" s="20">
        <f>IF(COUNTIF(Contacts!$K$2:$K$501,$B$4&amp;"|"&amp;2)=0,"",INDEX(Contacts!$D$2:$D$501,MATCH($B$4&amp;"|"&amp;2,Contacts!$K$2:$K$501,0))&amp;"")</f>
        <v/>
      </c>
      <c r="D20" s="21">
        <f>IF($H20="","",IF(ISNUMBER(SEARCH("@",$H20)),HYPERLINK("mailto:"&amp;$H20,$H20),$H20))</f>
        <v/>
      </c>
      <c r="E20" s="22">
        <f>IF(COUNTIF(Contacts!$K$2:$K$501,$B$4&amp;"|"&amp;2)=0,"",INDEX(Contacts!$F$2:$F$501,MATCH($B$4&amp;"|"&amp;2,Contacts!$K$2:$K$501,0))&amp;"")</f>
        <v/>
      </c>
      <c r="F20" s="22">
        <f>IF(COUNTIF(Contacts!$K$2:$K$501,$B$4&amp;"|"&amp;2)=0,"",INDEX(Contacts!$L$2:$L$501,MATCH($B$4&amp;"|"&amp;2,Contacts!$K$2:$K$501,0))&amp;"")</f>
        <v/>
      </c>
      <c r="H20">
        <f>IF(COUNTIF(Contacts!$K$2:$K$501,$B$4&amp;"|"&amp;2)=0,"",INDEX(Contacts!$E$2:$E$501,MATCH($B$4&amp;"|"&amp;2,Contacts!$K$2:$K$501,0))&amp;"")</f>
        <v/>
      </c>
    </row>
    <row r="21" ht="24" customHeight="1">
      <c r="A21" s="18">
        <f>IF(COUNTIF(Contacts!$K$2:$K$501,$B$4&amp;"|"&amp;3)=0,"",INDEX(Contacts!$B$2:$B$501,MATCH($B$4&amp;"|"&amp;3,Contacts!$K$2:$K$501,0))&amp;"")</f>
        <v/>
      </c>
      <c r="B21" s="18">
        <f>IF(COUNTIF(Contacts!$K$2:$K$501,$B$4&amp;"|"&amp;3)=0,"",INDEX(Contacts!$C$2:$C$501,MATCH($B$4&amp;"|"&amp;3,Contacts!$K$2:$K$501,0))&amp;"")</f>
        <v/>
      </c>
      <c r="C21" s="18">
        <f>IF(COUNTIF(Contacts!$K$2:$K$501,$B$4&amp;"|"&amp;3)=0,"",INDEX(Contacts!$D$2:$D$501,MATCH($B$4&amp;"|"&amp;3,Contacts!$K$2:$K$501,0))&amp;"")</f>
        <v/>
      </c>
      <c r="D21" s="19">
        <f>IF($H21="","",IF(ISNUMBER(SEARCH("@",$H21)),HYPERLINK("mailto:"&amp;$H21,$H21),$H21))</f>
        <v/>
      </c>
      <c r="E21" s="5">
        <f>IF(COUNTIF(Contacts!$K$2:$K$501,$B$4&amp;"|"&amp;3)=0,"",INDEX(Contacts!$F$2:$F$501,MATCH($B$4&amp;"|"&amp;3,Contacts!$K$2:$K$501,0))&amp;"")</f>
        <v/>
      </c>
      <c r="F21" s="5">
        <f>IF(COUNTIF(Contacts!$K$2:$K$501,$B$4&amp;"|"&amp;3)=0,"",INDEX(Contacts!$L$2:$L$501,MATCH($B$4&amp;"|"&amp;3,Contacts!$K$2:$K$501,0))&amp;"")</f>
        <v/>
      </c>
      <c r="H21">
        <f>IF(COUNTIF(Contacts!$K$2:$K$501,$B$4&amp;"|"&amp;3)=0,"",INDEX(Contacts!$E$2:$E$501,MATCH($B$4&amp;"|"&amp;3,Contacts!$K$2:$K$501,0))&amp;"")</f>
        <v/>
      </c>
    </row>
    <row r="22" ht="24" customHeight="1">
      <c r="A22" s="20">
        <f>IF(COUNTIF(Contacts!$K$2:$K$501,$B$4&amp;"|"&amp;4)=0,"",INDEX(Contacts!$B$2:$B$501,MATCH($B$4&amp;"|"&amp;4,Contacts!$K$2:$K$501,0))&amp;"")</f>
        <v/>
      </c>
      <c r="B22" s="20">
        <f>IF(COUNTIF(Contacts!$K$2:$K$501,$B$4&amp;"|"&amp;4)=0,"",INDEX(Contacts!$C$2:$C$501,MATCH($B$4&amp;"|"&amp;4,Contacts!$K$2:$K$501,0))&amp;"")</f>
        <v/>
      </c>
      <c r="C22" s="20">
        <f>IF(COUNTIF(Contacts!$K$2:$K$501,$B$4&amp;"|"&amp;4)=0,"",INDEX(Contacts!$D$2:$D$501,MATCH($B$4&amp;"|"&amp;4,Contacts!$K$2:$K$501,0))&amp;"")</f>
        <v/>
      </c>
      <c r="D22" s="21">
        <f>IF($H22="","",IF(ISNUMBER(SEARCH("@",$H22)),HYPERLINK("mailto:"&amp;$H22,$H22),$H22))</f>
        <v/>
      </c>
      <c r="E22" s="22">
        <f>IF(COUNTIF(Contacts!$K$2:$K$501,$B$4&amp;"|"&amp;4)=0,"",INDEX(Contacts!$F$2:$F$501,MATCH($B$4&amp;"|"&amp;4,Contacts!$K$2:$K$501,0))&amp;"")</f>
        <v/>
      </c>
      <c r="F22" s="22">
        <f>IF(COUNTIF(Contacts!$K$2:$K$501,$B$4&amp;"|"&amp;4)=0,"",INDEX(Contacts!$L$2:$L$501,MATCH($B$4&amp;"|"&amp;4,Contacts!$K$2:$K$501,0))&amp;"")</f>
        <v/>
      </c>
      <c r="H22">
        <f>IF(COUNTIF(Contacts!$K$2:$K$501,$B$4&amp;"|"&amp;4)=0,"",INDEX(Contacts!$E$2:$E$501,MATCH($B$4&amp;"|"&amp;4,Contacts!$K$2:$K$501,0))&amp;"")</f>
        <v/>
      </c>
    </row>
    <row r="23" ht="24" customHeight="1">
      <c r="A23" s="18">
        <f>IF(COUNTIF(Contacts!$K$2:$K$501,$B$4&amp;"|"&amp;5)=0,"",INDEX(Contacts!$B$2:$B$501,MATCH($B$4&amp;"|"&amp;5,Contacts!$K$2:$K$501,0))&amp;"")</f>
        <v/>
      </c>
      <c r="B23" s="18">
        <f>IF(COUNTIF(Contacts!$K$2:$K$501,$B$4&amp;"|"&amp;5)=0,"",INDEX(Contacts!$C$2:$C$501,MATCH($B$4&amp;"|"&amp;5,Contacts!$K$2:$K$501,0))&amp;"")</f>
        <v/>
      </c>
      <c r="C23" s="18">
        <f>IF(COUNTIF(Contacts!$K$2:$K$501,$B$4&amp;"|"&amp;5)=0,"",INDEX(Contacts!$D$2:$D$501,MATCH($B$4&amp;"|"&amp;5,Contacts!$K$2:$K$501,0))&amp;"")</f>
        <v/>
      </c>
      <c r="D23" s="19">
        <f>IF($H23="","",IF(ISNUMBER(SEARCH("@",$H23)),HYPERLINK("mailto:"&amp;$H23,$H23),$H23))</f>
        <v/>
      </c>
      <c r="E23" s="5">
        <f>IF(COUNTIF(Contacts!$K$2:$K$501,$B$4&amp;"|"&amp;5)=0,"",INDEX(Contacts!$F$2:$F$501,MATCH($B$4&amp;"|"&amp;5,Contacts!$K$2:$K$501,0))&amp;"")</f>
        <v/>
      </c>
      <c r="F23" s="5">
        <f>IF(COUNTIF(Contacts!$K$2:$K$501,$B$4&amp;"|"&amp;5)=0,"",INDEX(Contacts!$L$2:$L$501,MATCH($B$4&amp;"|"&amp;5,Contacts!$K$2:$K$501,0))&amp;"")</f>
        <v/>
      </c>
      <c r="H23">
        <f>IF(COUNTIF(Contacts!$K$2:$K$501,$B$4&amp;"|"&amp;5)=0,"",INDEX(Contacts!$E$2:$E$501,MATCH($B$4&amp;"|"&amp;5,Contacts!$K$2:$K$501,0))&amp;"")</f>
        <v/>
      </c>
    </row>
    <row r="24" ht="24" customHeight="1">
      <c r="A24" s="20">
        <f>IF(COUNTIF(Contacts!$K$2:$K$501,$B$4&amp;"|"&amp;6)=0,"",INDEX(Contacts!$B$2:$B$501,MATCH($B$4&amp;"|"&amp;6,Contacts!$K$2:$K$501,0))&amp;"")</f>
        <v/>
      </c>
      <c r="B24" s="20">
        <f>IF(COUNTIF(Contacts!$K$2:$K$501,$B$4&amp;"|"&amp;6)=0,"",INDEX(Contacts!$C$2:$C$501,MATCH($B$4&amp;"|"&amp;6,Contacts!$K$2:$K$501,0))&amp;"")</f>
        <v/>
      </c>
      <c r="C24" s="20">
        <f>IF(COUNTIF(Contacts!$K$2:$K$501,$B$4&amp;"|"&amp;6)=0,"",INDEX(Contacts!$D$2:$D$501,MATCH($B$4&amp;"|"&amp;6,Contacts!$K$2:$K$501,0))&amp;"")</f>
        <v/>
      </c>
      <c r="D24" s="21">
        <f>IF($H24="","",IF(ISNUMBER(SEARCH("@",$H24)),HYPERLINK("mailto:"&amp;$H24,$H24),$H24))</f>
        <v/>
      </c>
      <c r="E24" s="22">
        <f>IF(COUNTIF(Contacts!$K$2:$K$501,$B$4&amp;"|"&amp;6)=0,"",INDEX(Contacts!$F$2:$F$501,MATCH($B$4&amp;"|"&amp;6,Contacts!$K$2:$K$501,0))&amp;"")</f>
        <v/>
      </c>
      <c r="F24" s="22">
        <f>IF(COUNTIF(Contacts!$K$2:$K$501,$B$4&amp;"|"&amp;6)=0,"",INDEX(Contacts!$L$2:$L$501,MATCH($B$4&amp;"|"&amp;6,Contacts!$K$2:$K$501,0))&amp;"")</f>
        <v/>
      </c>
      <c r="H24">
        <f>IF(COUNTIF(Contacts!$K$2:$K$501,$B$4&amp;"|"&amp;6)=0,"",INDEX(Contacts!$E$2:$E$501,MATCH($B$4&amp;"|"&amp;6,Contacts!$K$2:$K$501,0))&amp;"")</f>
        <v/>
      </c>
    </row>
    <row r="25" ht="24" customHeight="1">
      <c r="A25" s="18">
        <f>IF(COUNTIF(Contacts!$K$2:$K$501,$B$4&amp;"|"&amp;7)=0,"",INDEX(Contacts!$B$2:$B$501,MATCH($B$4&amp;"|"&amp;7,Contacts!$K$2:$K$501,0))&amp;"")</f>
        <v/>
      </c>
      <c r="B25" s="18">
        <f>IF(COUNTIF(Contacts!$K$2:$K$501,$B$4&amp;"|"&amp;7)=0,"",INDEX(Contacts!$C$2:$C$501,MATCH($B$4&amp;"|"&amp;7,Contacts!$K$2:$K$501,0))&amp;"")</f>
        <v/>
      </c>
      <c r="C25" s="18">
        <f>IF(COUNTIF(Contacts!$K$2:$K$501,$B$4&amp;"|"&amp;7)=0,"",INDEX(Contacts!$D$2:$D$501,MATCH($B$4&amp;"|"&amp;7,Contacts!$K$2:$K$501,0))&amp;"")</f>
        <v/>
      </c>
      <c r="D25" s="19">
        <f>IF($H25="","",IF(ISNUMBER(SEARCH("@",$H25)),HYPERLINK("mailto:"&amp;$H25,$H25),$H25))</f>
        <v/>
      </c>
      <c r="E25" s="5">
        <f>IF(COUNTIF(Contacts!$K$2:$K$501,$B$4&amp;"|"&amp;7)=0,"",INDEX(Contacts!$F$2:$F$501,MATCH($B$4&amp;"|"&amp;7,Contacts!$K$2:$K$501,0))&amp;"")</f>
        <v/>
      </c>
      <c r="F25" s="5">
        <f>IF(COUNTIF(Contacts!$K$2:$K$501,$B$4&amp;"|"&amp;7)=0,"",INDEX(Contacts!$L$2:$L$501,MATCH($B$4&amp;"|"&amp;7,Contacts!$K$2:$K$501,0))&amp;"")</f>
        <v/>
      </c>
      <c r="H25">
        <f>IF(COUNTIF(Contacts!$K$2:$K$501,$B$4&amp;"|"&amp;7)=0,"",INDEX(Contacts!$E$2:$E$501,MATCH($B$4&amp;"|"&amp;7,Contacts!$K$2:$K$501,0))&amp;"")</f>
        <v/>
      </c>
    </row>
    <row r="26" ht="24" customHeight="1">
      <c r="A26" s="20">
        <f>IF(COUNTIF(Contacts!$K$2:$K$501,$B$4&amp;"|"&amp;8)=0,"",INDEX(Contacts!$B$2:$B$501,MATCH($B$4&amp;"|"&amp;8,Contacts!$K$2:$K$501,0))&amp;"")</f>
        <v/>
      </c>
      <c r="B26" s="20">
        <f>IF(COUNTIF(Contacts!$K$2:$K$501,$B$4&amp;"|"&amp;8)=0,"",INDEX(Contacts!$C$2:$C$501,MATCH($B$4&amp;"|"&amp;8,Contacts!$K$2:$K$501,0))&amp;"")</f>
        <v/>
      </c>
      <c r="C26" s="20">
        <f>IF(COUNTIF(Contacts!$K$2:$K$501,$B$4&amp;"|"&amp;8)=0,"",INDEX(Contacts!$D$2:$D$501,MATCH($B$4&amp;"|"&amp;8,Contacts!$K$2:$K$501,0))&amp;"")</f>
        <v/>
      </c>
      <c r="D26" s="21">
        <f>IF($H26="","",IF(ISNUMBER(SEARCH("@",$H26)),HYPERLINK("mailto:"&amp;$H26,$H26),$H26))</f>
        <v/>
      </c>
      <c r="E26" s="22">
        <f>IF(COUNTIF(Contacts!$K$2:$K$501,$B$4&amp;"|"&amp;8)=0,"",INDEX(Contacts!$F$2:$F$501,MATCH($B$4&amp;"|"&amp;8,Contacts!$K$2:$K$501,0))&amp;"")</f>
        <v/>
      </c>
      <c r="F26" s="22">
        <f>IF(COUNTIF(Contacts!$K$2:$K$501,$B$4&amp;"|"&amp;8)=0,"",INDEX(Contacts!$L$2:$L$501,MATCH($B$4&amp;"|"&amp;8,Contacts!$K$2:$K$501,0))&amp;"")</f>
        <v/>
      </c>
      <c r="H26">
        <f>IF(COUNTIF(Contacts!$K$2:$K$501,$B$4&amp;"|"&amp;8)=0,"",INDEX(Contacts!$E$2:$E$501,MATCH($B$4&amp;"|"&amp;8,Contacts!$K$2:$K$501,0))&amp;"")</f>
        <v/>
      </c>
    </row>
    <row r="27" ht="24" customHeight="1">
      <c r="A27" s="18">
        <f>IF(COUNTIF(Contacts!$K$2:$K$501,$B$4&amp;"|"&amp;9)=0,"",INDEX(Contacts!$B$2:$B$501,MATCH($B$4&amp;"|"&amp;9,Contacts!$K$2:$K$501,0))&amp;"")</f>
        <v/>
      </c>
      <c r="B27" s="18">
        <f>IF(COUNTIF(Contacts!$K$2:$K$501,$B$4&amp;"|"&amp;9)=0,"",INDEX(Contacts!$C$2:$C$501,MATCH($B$4&amp;"|"&amp;9,Contacts!$K$2:$K$501,0))&amp;"")</f>
        <v/>
      </c>
      <c r="C27" s="18">
        <f>IF(COUNTIF(Contacts!$K$2:$K$501,$B$4&amp;"|"&amp;9)=0,"",INDEX(Contacts!$D$2:$D$501,MATCH($B$4&amp;"|"&amp;9,Contacts!$K$2:$K$501,0))&amp;"")</f>
        <v/>
      </c>
      <c r="D27" s="19">
        <f>IF($H27="","",IF(ISNUMBER(SEARCH("@",$H27)),HYPERLINK("mailto:"&amp;$H27,$H27),$H27))</f>
        <v/>
      </c>
      <c r="E27" s="5">
        <f>IF(COUNTIF(Contacts!$K$2:$K$501,$B$4&amp;"|"&amp;9)=0,"",INDEX(Contacts!$F$2:$F$501,MATCH($B$4&amp;"|"&amp;9,Contacts!$K$2:$K$501,0))&amp;"")</f>
        <v/>
      </c>
      <c r="F27" s="5">
        <f>IF(COUNTIF(Contacts!$K$2:$K$501,$B$4&amp;"|"&amp;9)=0,"",INDEX(Contacts!$L$2:$L$501,MATCH($B$4&amp;"|"&amp;9,Contacts!$K$2:$K$501,0))&amp;"")</f>
        <v/>
      </c>
      <c r="H27">
        <f>IF(COUNTIF(Contacts!$K$2:$K$501,$B$4&amp;"|"&amp;9)=0,"",INDEX(Contacts!$E$2:$E$501,MATCH($B$4&amp;"|"&amp;9,Contacts!$K$2:$K$501,0))&amp;"")</f>
        <v/>
      </c>
    </row>
    <row r="28" ht="24" customHeight="1">
      <c r="A28" s="20">
        <f>IF(COUNTIF(Contacts!$K$2:$K$501,$B$4&amp;"|"&amp;10)=0,"",INDEX(Contacts!$B$2:$B$501,MATCH($B$4&amp;"|"&amp;10,Contacts!$K$2:$K$501,0))&amp;"")</f>
        <v/>
      </c>
      <c r="B28" s="20">
        <f>IF(COUNTIF(Contacts!$K$2:$K$501,$B$4&amp;"|"&amp;10)=0,"",INDEX(Contacts!$C$2:$C$501,MATCH($B$4&amp;"|"&amp;10,Contacts!$K$2:$K$501,0))&amp;"")</f>
        <v/>
      </c>
      <c r="C28" s="20">
        <f>IF(COUNTIF(Contacts!$K$2:$K$501,$B$4&amp;"|"&amp;10)=0,"",INDEX(Contacts!$D$2:$D$501,MATCH($B$4&amp;"|"&amp;10,Contacts!$K$2:$K$501,0))&amp;"")</f>
        <v/>
      </c>
      <c r="D28" s="21">
        <f>IF($H28="","",IF(ISNUMBER(SEARCH("@",$H28)),HYPERLINK("mailto:"&amp;$H28,$H28),$H28))</f>
        <v/>
      </c>
      <c r="E28" s="22">
        <f>IF(COUNTIF(Contacts!$K$2:$K$501,$B$4&amp;"|"&amp;10)=0,"",INDEX(Contacts!$F$2:$F$501,MATCH($B$4&amp;"|"&amp;10,Contacts!$K$2:$K$501,0))&amp;"")</f>
        <v/>
      </c>
      <c r="F28" s="22">
        <f>IF(COUNTIF(Contacts!$K$2:$K$501,$B$4&amp;"|"&amp;10)=0,"",INDEX(Contacts!$L$2:$L$501,MATCH($B$4&amp;"|"&amp;10,Contacts!$K$2:$K$501,0))&amp;"")</f>
        <v/>
      </c>
      <c r="H28">
        <f>IF(COUNTIF(Contacts!$K$2:$K$501,$B$4&amp;"|"&amp;10)=0,"",INDEX(Contacts!$E$2:$E$501,MATCH($B$4&amp;"|"&amp;10,Contacts!$K$2:$K$501,0))&amp;"")</f>
        <v/>
      </c>
    </row>
    <row r="29" ht="24" customHeight="1">
      <c r="A29" s="18">
        <f>IF(COUNTIF(Contacts!$K$2:$K$501,$B$4&amp;"|"&amp;11)=0,"",INDEX(Contacts!$B$2:$B$501,MATCH($B$4&amp;"|"&amp;11,Contacts!$K$2:$K$501,0))&amp;"")</f>
        <v/>
      </c>
      <c r="B29" s="18">
        <f>IF(COUNTIF(Contacts!$K$2:$K$501,$B$4&amp;"|"&amp;11)=0,"",INDEX(Contacts!$C$2:$C$501,MATCH($B$4&amp;"|"&amp;11,Contacts!$K$2:$K$501,0))&amp;"")</f>
        <v/>
      </c>
      <c r="C29" s="18">
        <f>IF(COUNTIF(Contacts!$K$2:$K$501,$B$4&amp;"|"&amp;11)=0,"",INDEX(Contacts!$D$2:$D$501,MATCH($B$4&amp;"|"&amp;11,Contacts!$K$2:$K$501,0))&amp;"")</f>
        <v/>
      </c>
      <c r="D29" s="19">
        <f>IF($H29="","",IF(ISNUMBER(SEARCH("@",$H29)),HYPERLINK("mailto:"&amp;$H29,$H29),$H29))</f>
        <v/>
      </c>
      <c r="E29" s="5">
        <f>IF(COUNTIF(Contacts!$K$2:$K$501,$B$4&amp;"|"&amp;11)=0,"",INDEX(Contacts!$F$2:$F$501,MATCH($B$4&amp;"|"&amp;11,Contacts!$K$2:$K$501,0))&amp;"")</f>
        <v/>
      </c>
      <c r="F29" s="5">
        <f>IF(COUNTIF(Contacts!$K$2:$K$501,$B$4&amp;"|"&amp;11)=0,"",INDEX(Contacts!$L$2:$L$501,MATCH($B$4&amp;"|"&amp;11,Contacts!$K$2:$K$501,0))&amp;"")</f>
        <v/>
      </c>
      <c r="H29">
        <f>IF(COUNTIF(Contacts!$K$2:$K$501,$B$4&amp;"|"&amp;11)=0,"",INDEX(Contacts!$E$2:$E$501,MATCH($B$4&amp;"|"&amp;11,Contacts!$K$2:$K$501,0))&amp;"")</f>
        <v/>
      </c>
    </row>
    <row r="30" ht="24" customHeight="1">
      <c r="A30" s="20">
        <f>IF(COUNTIF(Contacts!$K$2:$K$501,$B$4&amp;"|"&amp;12)=0,"",INDEX(Contacts!$B$2:$B$501,MATCH($B$4&amp;"|"&amp;12,Contacts!$K$2:$K$501,0))&amp;"")</f>
        <v/>
      </c>
      <c r="B30" s="20">
        <f>IF(COUNTIF(Contacts!$K$2:$K$501,$B$4&amp;"|"&amp;12)=0,"",INDEX(Contacts!$C$2:$C$501,MATCH($B$4&amp;"|"&amp;12,Contacts!$K$2:$K$501,0))&amp;"")</f>
        <v/>
      </c>
      <c r="C30" s="20">
        <f>IF(COUNTIF(Contacts!$K$2:$K$501,$B$4&amp;"|"&amp;12)=0,"",INDEX(Contacts!$D$2:$D$501,MATCH($B$4&amp;"|"&amp;12,Contacts!$K$2:$K$501,0))&amp;"")</f>
        <v/>
      </c>
      <c r="D30" s="21">
        <f>IF($H30="","",IF(ISNUMBER(SEARCH("@",$H30)),HYPERLINK("mailto:"&amp;$H30,$H30),$H30))</f>
        <v/>
      </c>
      <c r="E30" s="22">
        <f>IF(COUNTIF(Contacts!$K$2:$K$501,$B$4&amp;"|"&amp;12)=0,"",INDEX(Contacts!$F$2:$F$501,MATCH($B$4&amp;"|"&amp;12,Contacts!$K$2:$K$501,0))&amp;"")</f>
        <v/>
      </c>
      <c r="F30" s="22">
        <f>IF(COUNTIF(Contacts!$K$2:$K$501,$B$4&amp;"|"&amp;12)=0,"",INDEX(Contacts!$L$2:$L$501,MATCH($B$4&amp;"|"&amp;12,Contacts!$K$2:$K$501,0))&amp;"")</f>
        <v/>
      </c>
      <c r="H30">
        <f>IF(COUNTIF(Contacts!$K$2:$K$501,$B$4&amp;"|"&amp;12)=0,"",INDEX(Contacts!$E$2:$E$501,MATCH($B$4&amp;"|"&amp;12,Contacts!$K$2:$K$501,0))&amp;"")</f>
        <v/>
      </c>
    </row>
    <row r="31" ht="24" customHeight="1">
      <c r="A31" s="18">
        <f>IF(COUNTIF(Contacts!$K$2:$K$501,$B$4&amp;"|"&amp;13)=0,"",INDEX(Contacts!$B$2:$B$501,MATCH($B$4&amp;"|"&amp;13,Contacts!$K$2:$K$501,0))&amp;"")</f>
        <v/>
      </c>
      <c r="B31" s="18">
        <f>IF(COUNTIF(Contacts!$K$2:$K$501,$B$4&amp;"|"&amp;13)=0,"",INDEX(Contacts!$C$2:$C$501,MATCH($B$4&amp;"|"&amp;13,Contacts!$K$2:$K$501,0))&amp;"")</f>
        <v/>
      </c>
      <c r="C31" s="18">
        <f>IF(COUNTIF(Contacts!$K$2:$K$501,$B$4&amp;"|"&amp;13)=0,"",INDEX(Contacts!$D$2:$D$501,MATCH($B$4&amp;"|"&amp;13,Contacts!$K$2:$K$501,0))&amp;"")</f>
        <v/>
      </c>
      <c r="D31" s="19">
        <f>IF($H31="","",IF(ISNUMBER(SEARCH("@",$H31)),HYPERLINK("mailto:"&amp;$H31,$H31),$H31))</f>
        <v/>
      </c>
      <c r="E31" s="5">
        <f>IF(COUNTIF(Contacts!$K$2:$K$501,$B$4&amp;"|"&amp;13)=0,"",INDEX(Contacts!$F$2:$F$501,MATCH($B$4&amp;"|"&amp;13,Contacts!$K$2:$K$501,0))&amp;"")</f>
        <v/>
      </c>
      <c r="F31" s="5">
        <f>IF(COUNTIF(Contacts!$K$2:$K$501,$B$4&amp;"|"&amp;13)=0,"",INDEX(Contacts!$L$2:$L$501,MATCH($B$4&amp;"|"&amp;13,Contacts!$K$2:$K$501,0))&amp;"")</f>
        <v/>
      </c>
      <c r="H31">
        <f>IF(COUNTIF(Contacts!$K$2:$K$501,$B$4&amp;"|"&amp;13)=0,"",INDEX(Contacts!$E$2:$E$501,MATCH($B$4&amp;"|"&amp;13,Contacts!$K$2:$K$501,0))&amp;"")</f>
        <v/>
      </c>
    </row>
    <row r="32" ht="24" customHeight="1">
      <c r="A32" s="20">
        <f>IF(COUNTIF(Contacts!$K$2:$K$501,$B$4&amp;"|"&amp;14)=0,"",INDEX(Contacts!$B$2:$B$501,MATCH($B$4&amp;"|"&amp;14,Contacts!$K$2:$K$501,0))&amp;"")</f>
        <v/>
      </c>
      <c r="B32" s="20">
        <f>IF(COUNTIF(Contacts!$K$2:$K$501,$B$4&amp;"|"&amp;14)=0,"",INDEX(Contacts!$C$2:$C$501,MATCH($B$4&amp;"|"&amp;14,Contacts!$K$2:$K$501,0))&amp;"")</f>
        <v/>
      </c>
      <c r="C32" s="20">
        <f>IF(COUNTIF(Contacts!$K$2:$K$501,$B$4&amp;"|"&amp;14)=0,"",INDEX(Contacts!$D$2:$D$501,MATCH($B$4&amp;"|"&amp;14,Contacts!$K$2:$K$501,0))&amp;"")</f>
        <v/>
      </c>
      <c r="D32" s="21">
        <f>IF($H32="","",IF(ISNUMBER(SEARCH("@",$H32)),HYPERLINK("mailto:"&amp;$H32,$H32),$H32))</f>
        <v/>
      </c>
      <c r="E32" s="22">
        <f>IF(COUNTIF(Contacts!$K$2:$K$501,$B$4&amp;"|"&amp;14)=0,"",INDEX(Contacts!$F$2:$F$501,MATCH($B$4&amp;"|"&amp;14,Contacts!$K$2:$K$501,0))&amp;"")</f>
        <v/>
      </c>
      <c r="F32" s="22">
        <f>IF(COUNTIF(Contacts!$K$2:$K$501,$B$4&amp;"|"&amp;14)=0,"",INDEX(Contacts!$L$2:$L$501,MATCH($B$4&amp;"|"&amp;14,Contacts!$K$2:$K$501,0))&amp;"")</f>
        <v/>
      </c>
      <c r="H32">
        <f>IF(COUNTIF(Contacts!$K$2:$K$501,$B$4&amp;"|"&amp;14)=0,"",INDEX(Contacts!$E$2:$E$501,MATCH($B$4&amp;"|"&amp;14,Contacts!$K$2:$K$501,0))&amp;"")</f>
        <v/>
      </c>
    </row>
    <row r="33" ht="24" customHeight="1">
      <c r="A33" s="18">
        <f>IF(COUNTIF(Contacts!$K$2:$K$501,$B$4&amp;"|"&amp;15)=0,"",INDEX(Contacts!$B$2:$B$501,MATCH($B$4&amp;"|"&amp;15,Contacts!$K$2:$K$501,0))&amp;"")</f>
        <v/>
      </c>
      <c r="B33" s="18">
        <f>IF(COUNTIF(Contacts!$K$2:$K$501,$B$4&amp;"|"&amp;15)=0,"",INDEX(Contacts!$C$2:$C$501,MATCH($B$4&amp;"|"&amp;15,Contacts!$K$2:$K$501,0))&amp;"")</f>
        <v/>
      </c>
      <c r="C33" s="18">
        <f>IF(COUNTIF(Contacts!$K$2:$K$501,$B$4&amp;"|"&amp;15)=0,"",INDEX(Contacts!$D$2:$D$501,MATCH($B$4&amp;"|"&amp;15,Contacts!$K$2:$K$501,0))&amp;"")</f>
        <v/>
      </c>
      <c r="D33" s="19">
        <f>IF($H33="","",IF(ISNUMBER(SEARCH("@",$H33)),HYPERLINK("mailto:"&amp;$H33,$H33),$H33))</f>
        <v/>
      </c>
      <c r="E33" s="5">
        <f>IF(COUNTIF(Contacts!$K$2:$K$501,$B$4&amp;"|"&amp;15)=0,"",INDEX(Contacts!$F$2:$F$501,MATCH($B$4&amp;"|"&amp;15,Contacts!$K$2:$K$501,0))&amp;"")</f>
        <v/>
      </c>
      <c r="F33" s="5">
        <f>IF(COUNTIF(Contacts!$K$2:$K$501,$B$4&amp;"|"&amp;15)=0,"",INDEX(Contacts!$L$2:$L$501,MATCH($B$4&amp;"|"&amp;15,Contacts!$K$2:$K$501,0))&amp;"")</f>
        <v/>
      </c>
      <c r="H33">
        <f>IF(COUNTIF(Contacts!$K$2:$K$501,$B$4&amp;"|"&amp;15)=0,"",INDEX(Contacts!$E$2:$E$501,MATCH($B$4&amp;"|"&amp;15,Contacts!$K$2:$K$501,0))&amp;"")</f>
        <v/>
      </c>
    </row>
    <row r="34" ht="24" customHeight="1">
      <c r="A34" s="20">
        <f>IF(COUNTIF(Contacts!$K$2:$K$501,$B$4&amp;"|"&amp;16)=0,"",INDEX(Contacts!$B$2:$B$501,MATCH($B$4&amp;"|"&amp;16,Contacts!$K$2:$K$501,0))&amp;"")</f>
        <v/>
      </c>
      <c r="B34" s="20">
        <f>IF(COUNTIF(Contacts!$K$2:$K$501,$B$4&amp;"|"&amp;16)=0,"",INDEX(Contacts!$C$2:$C$501,MATCH($B$4&amp;"|"&amp;16,Contacts!$K$2:$K$501,0))&amp;"")</f>
        <v/>
      </c>
      <c r="C34" s="20">
        <f>IF(COUNTIF(Contacts!$K$2:$K$501,$B$4&amp;"|"&amp;16)=0,"",INDEX(Contacts!$D$2:$D$501,MATCH($B$4&amp;"|"&amp;16,Contacts!$K$2:$K$501,0))&amp;"")</f>
        <v/>
      </c>
      <c r="D34" s="21">
        <f>IF($H34="","",IF(ISNUMBER(SEARCH("@",$H34)),HYPERLINK("mailto:"&amp;$H34,$H34),$H34))</f>
        <v/>
      </c>
      <c r="E34" s="22">
        <f>IF(COUNTIF(Contacts!$K$2:$K$501,$B$4&amp;"|"&amp;16)=0,"",INDEX(Contacts!$F$2:$F$501,MATCH($B$4&amp;"|"&amp;16,Contacts!$K$2:$K$501,0))&amp;"")</f>
        <v/>
      </c>
      <c r="F34" s="22">
        <f>IF(COUNTIF(Contacts!$K$2:$K$501,$B$4&amp;"|"&amp;16)=0,"",INDEX(Contacts!$L$2:$L$501,MATCH($B$4&amp;"|"&amp;16,Contacts!$K$2:$K$501,0))&amp;"")</f>
        <v/>
      </c>
      <c r="H34">
        <f>IF(COUNTIF(Contacts!$K$2:$K$501,$B$4&amp;"|"&amp;16)=0,"",INDEX(Contacts!$E$2:$E$501,MATCH($B$4&amp;"|"&amp;16,Contacts!$K$2:$K$501,0))&amp;"")</f>
        <v/>
      </c>
    </row>
    <row r="35" ht="24" customHeight="1">
      <c r="A35" s="18">
        <f>IF(COUNTIF(Contacts!$K$2:$K$501,$B$4&amp;"|"&amp;17)=0,"",INDEX(Contacts!$B$2:$B$501,MATCH($B$4&amp;"|"&amp;17,Contacts!$K$2:$K$501,0))&amp;"")</f>
        <v/>
      </c>
      <c r="B35" s="18">
        <f>IF(COUNTIF(Contacts!$K$2:$K$501,$B$4&amp;"|"&amp;17)=0,"",INDEX(Contacts!$C$2:$C$501,MATCH($B$4&amp;"|"&amp;17,Contacts!$K$2:$K$501,0))&amp;"")</f>
        <v/>
      </c>
      <c r="C35" s="18">
        <f>IF(COUNTIF(Contacts!$K$2:$K$501,$B$4&amp;"|"&amp;17)=0,"",INDEX(Contacts!$D$2:$D$501,MATCH($B$4&amp;"|"&amp;17,Contacts!$K$2:$K$501,0))&amp;"")</f>
        <v/>
      </c>
      <c r="D35" s="19">
        <f>IF($H35="","",IF(ISNUMBER(SEARCH("@",$H35)),HYPERLINK("mailto:"&amp;$H35,$H35),$H35))</f>
        <v/>
      </c>
      <c r="E35" s="5">
        <f>IF(COUNTIF(Contacts!$K$2:$K$501,$B$4&amp;"|"&amp;17)=0,"",INDEX(Contacts!$F$2:$F$501,MATCH($B$4&amp;"|"&amp;17,Contacts!$K$2:$K$501,0))&amp;"")</f>
        <v/>
      </c>
      <c r="F35" s="5">
        <f>IF(COUNTIF(Contacts!$K$2:$K$501,$B$4&amp;"|"&amp;17)=0,"",INDEX(Contacts!$L$2:$L$501,MATCH($B$4&amp;"|"&amp;17,Contacts!$K$2:$K$501,0))&amp;"")</f>
        <v/>
      </c>
      <c r="H35">
        <f>IF(COUNTIF(Contacts!$K$2:$K$501,$B$4&amp;"|"&amp;17)=0,"",INDEX(Contacts!$E$2:$E$501,MATCH($B$4&amp;"|"&amp;17,Contacts!$K$2:$K$501,0))&amp;"")</f>
        <v/>
      </c>
    </row>
    <row r="36" ht="24" customHeight="1">
      <c r="A36" s="20">
        <f>IF(COUNTIF(Contacts!$K$2:$K$501,$B$4&amp;"|"&amp;18)=0,"",INDEX(Contacts!$B$2:$B$501,MATCH($B$4&amp;"|"&amp;18,Contacts!$K$2:$K$501,0))&amp;"")</f>
        <v/>
      </c>
      <c r="B36" s="20">
        <f>IF(COUNTIF(Contacts!$K$2:$K$501,$B$4&amp;"|"&amp;18)=0,"",INDEX(Contacts!$C$2:$C$501,MATCH($B$4&amp;"|"&amp;18,Contacts!$K$2:$K$501,0))&amp;"")</f>
        <v/>
      </c>
      <c r="C36" s="20">
        <f>IF(COUNTIF(Contacts!$K$2:$K$501,$B$4&amp;"|"&amp;18)=0,"",INDEX(Contacts!$D$2:$D$501,MATCH($B$4&amp;"|"&amp;18,Contacts!$K$2:$K$501,0))&amp;"")</f>
        <v/>
      </c>
      <c r="D36" s="21">
        <f>IF($H36="","",IF(ISNUMBER(SEARCH("@",$H36)),HYPERLINK("mailto:"&amp;$H36,$H36),$H36))</f>
        <v/>
      </c>
      <c r="E36" s="22">
        <f>IF(COUNTIF(Contacts!$K$2:$K$501,$B$4&amp;"|"&amp;18)=0,"",INDEX(Contacts!$F$2:$F$501,MATCH($B$4&amp;"|"&amp;18,Contacts!$K$2:$K$501,0))&amp;"")</f>
        <v/>
      </c>
      <c r="F36" s="22">
        <f>IF(COUNTIF(Contacts!$K$2:$K$501,$B$4&amp;"|"&amp;18)=0,"",INDEX(Contacts!$L$2:$L$501,MATCH($B$4&amp;"|"&amp;18,Contacts!$K$2:$K$501,0))&amp;"")</f>
        <v/>
      </c>
      <c r="H36">
        <f>IF(COUNTIF(Contacts!$K$2:$K$501,$B$4&amp;"|"&amp;18)=0,"",INDEX(Contacts!$E$2:$E$501,MATCH($B$4&amp;"|"&amp;18,Contacts!$K$2:$K$501,0))&amp;"")</f>
        <v/>
      </c>
    </row>
    <row r="37" ht="24" customHeight="1">
      <c r="A37" s="18">
        <f>IF(COUNTIF(Contacts!$K$2:$K$501,$B$4&amp;"|"&amp;19)=0,"",INDEX(Contacts!$B$2:$B$501,MATCH($B$4&amp;"|"&amp;19,Contacts!$K$2:$K$501,0))&amp;"")</f>
        <v/>
      </c>
      <c r="B37" s="18">
        <f>IF(COUNTIF(Contacts!$K$2:$K$501,$B$4&amp;"|"&amp;19)=0,"",INDEX(Contacts!$C$2:$C$501,MATCH($B$4&amp;"|"&amp;19,Contacts!$K$2:$K$501,0))&amp;"")</f>
        <v/>
      </c>
      <c r="C37" s="18">
        <f>IF(COUNTIF(Contacts!$K$2:$K$501,$B$4&amp;"|"&amp;19)=0,"",INDEX(Contacts!$D$2:$D$501,MATCH($B$4&amp;"|"&amp;19,Contacts!$K$2:$K$501,0))&amp;"")</f>
        <v/>
      </c>
      <c r="D37" s="19">
        <f>IF($H37="","",IF(ISNUMBER(SEARCH("@",$H37)),HYPERLINK("mailto:"&amp;$H37,$H37),$H37))</f>
        <v/>
      </c>
      <c r="E37" s="5">
        <f>IF(COUNTIF(Contacts!$K$2:$K$501,$B$4&amp;"|"&amp;19)=0,"",INDEX(Contacts!$F$2:$F$501,MATCH($B$4&amp;"|"&amp;19,Contacts!$K$2:$K$501,0))&amp;"")</f>
        <v/>
      </c>
      <c r="F37" s="5">
        <f>IF(COUNTIF(Contacts!$K$2:$K$501,$B$4&amp;"|"&amp;19)=0,"",INDEX(Contacts!$L$2:$L$501,MATCH($B$4&amp;"|"&amp;19,Contacts!$K$2:$K$501,0))&amp;"")</f>
        <v/>
      </c>
      <c r="H37">
        <f>IF(COUNTIF(Contacts!$K$2:$K$501,$B$4&amp;"|"&amp;19)=0,"",INDEX(Contacts!$E$2:$E$501,MATCH($B$4&amp;"|"&amp;19,Contacts!$K$2:$K$501,0))&amp;"")</f>
        <v/>
      </c>
    </row>
    <row r="38" ht="24" customHeight="1">
      <c r="A38" s="20">
        <f>IF(COUNTIF(Contacts!$K$2:$K$501,$B$4&amp;"|"&amp;20)=0,"",INDEX(Contacts!$B$2:$B$501,MATCH($B$4&amp;"|"&amp;20,Contacts!$K$2:$K$501,0))&amp;"")</f>
        <v/>
      </c>
      <c r="B38" s="20">
        <f>IF(COUNTIF(Contacts!$K$2:$K$501,$B$4&amp;"|"&amp;20)=0,"",INDEX(Contacts!$C$2:$C$501,MATCH($B$4&amp;"|"&amp;20,Contacts!$K$2:$K$501,0))&amp;"")</f>
        <v/>
      </c>
      <c r="C38" s="20">
        <f>IF(COUNTIF(Contacts!$K$2:$K$501,$B$4&amp;"|"&amp;20)=0,"",INDEX(Contacts!$D$2:$D$501,MATCH($B$4&amp;"|"&amp;20,Contacts!$K$2:$K$501,0))&amp;"")</f>
        <v/>
      </c>
      <c r="D38" s="21">
        <f>IF($H38="","",IF(ISNUMBER(SEARCH("@",$H38)),HYPERLINK("mailto:"&amp;$H38,$H38),$H38))</f>
        <v/>
      </c>
      <c r="E38" s="22">
        <f>IF(COUNTIF(Contacts!$K$2:$K$501,$B$4&amp;"|"&amp;20)=0,"",INDEX(Contacts!$F$2:$F$501,MATCH($B$4&amp;"|"&amp;20,Contacts!$K$2:$K$501,0))&amp;"")</f>
        <v/>
      </c>
      <c r="F38" s="22">
        <f>IF(COUNTIF(Contacts!$K$2:$K$501,$B$4&amp;"|"&amp;20)=0,"",INDEX(Contacts!$L$2:$L$501,MATCH($B$4&amp;"|"&amp;20,Contacts!$K$2:$K$501,0))&amp;"")</f>
        <v/>
      </c>
      <c r="H38">
        <f>IF(COUNTIF(Contacts!$K$2:$K$501,$B$4&amp;"|"&amp;20)=0,"",INDEX(Contacts!$E$2:$E$501,MATCH($B$4&amp;"|"&amp;20,Contacts!$K$2:$K$501,0))&amp;"")</f>
        <v/>
      </c>
    </row>
    <row r="39" ht="18" customHeight="1">
      <c r="A39" s="23">
        <f>IF($B$4="","",IF(COUNTIF(Contacts!$A$2:$A$501,$B$4)=0,"No contacts entered yet for this builder - add them on the Contacts tab.",IF(COUNTIF(Contacts!$A$2:$A$501,$B$4)&gt;20,"Showing the first 20 of "&amp;COUNTIF(Contacts!$A$2:$A$501,$B$4)&amp;" contacts - see the Contacts tab for the rest.","")))</f>
        <v/>
      </c>
    </row>
    <row r="41" ht="20" customHeight="1">
      <c r="A41" s="12" t="inlineStr">
        <is>
          <t>TITLE COMPANY &amp; ESCROW TEAM</t>
        </is>
      </c>
    </row>
    <row r="42" ht="18" customHeight="1">
      <c r="A42" s="13" t="inlineStr">
        <is>
          <t>Title Company</t>
        </is>
      </c>
      <c r="B42" s="24">
        <f>IF($H$2="","-",IF(INDEX(Builders!$B$2:$B$201,$H$2)="","-",INDEX(Builders!$B$2:$B$201,$H$2)))</f>
        <v/>
      </c>
    </row>
    <row r="43" ht="18" customHeight="1">
      <c r="A43" s="13" t="inlineStr">
        <is>
          <t>Role</t>
        </is>
      </c>
      <c r="B43" s="24" t="inlineStr">
        <is>
          <t>Name</t>
        </is>
      </c>
      <c r="C43" s="24" t="inlineStr">
        <is>
          <t>Phone</t>
        </is>
      </c>
      <c r="D43" s="25" t="inlineStr">
        <is>
          <t>Email</t>
        </is>
      </c>
    </row>
    <row r="44" ht="18" customHeight="1">
      <c r="A44" s="26">
        <f>IF($H$4="","",IF(COUNTIF('Title Contacts'!$G$2:$G$601,$H$4&amp;"|"&amp;1)=0,"",INDEX('Title Contacts'!$B$2:$B$601,MATCH($H$4&amp;"|"&amp;1,'Title Contacts'!$G$2:$G$601,0))&amp;""))</f>
        <v/>
      </c>
      <c r="B44" s="27">
        <f>IF($H$4="","",IF(COUNTIF('Title Contacts'!$G$2:$G$601,$H$4&amp;"|"&amp;1)=0,"",INDEX('Title Contacts'!$C$2:$C$601,MATCH($H$4&amp;"|"&amp;1,'Title Contacts'!$G$2:$G$601,0))&amp;""))</f>
        <v/>
      </c>
      <c r="C44" s="27">
        <f>IF($H$4="","",IF(COUNTIF('Title Contacts'!$G$2:$G$601,$H$4&amp;"|"&amp;1)=0,"",INDEX('Title Contacts'!$D$2:$D$601,MATCH($H$4&amp;"|"&amp;1,'Title Contacts'!$G$2:$G$601,0))&amp;""))</f>
        <v/>
      </c>
      <c r="D44" s="28">
        <f>IF($H44="","",IF(ISNUMBER(SEARCH("@",$H44)),HYPERLINK("mailto:"&amp;$H44,$H44),$H44))</f>
        <v/>
      </c>
      <c r="E44" s="29" t="n"/>
      <c r="F44" s="29" t="n"/>
      <c r="H44">
        <f>IF($H$4="","",IF(COUNTIF('Title Contacts'!$G$2:$G$601,$H$4&amp;"|"&amp;1)=0,"",INDEX('Title Contacts'!$E$2:$E$601,MATCH($H$4&amp;"|"&amp;1,'Title Contacts'!$G$2:$G$601,0))&amp;""))</f>
        <v/>
      </c>
    </row>
    <row r="45" ht="18" customHeight="1">
      <c r="A45" s="13">
        <f>IF($H$4="","",IF(COUNTIF('Title Contacts'!$G$2:$G$601,$H$4&amp;"|"&amp;2)=0,"",INDEX('Title Contacts'!$B$2:$B$601,MATCH($H$4&amp;"|"&amp;2,'Title Contacts'!$G$2:$G$601,0))&amp;""))</f>
        <v/>
      </c>
      <c r="B45" s="24">
        <f>IF($H$4="","",IF(COUNTIF('Title Contacts'!$G$2:$G$601,$H$4&amp;"|"&amp;2)=0,"",INDEX('Title Contacts'!$C$2:$C$601,MATCH($H$4&amp;"|"&amp;2,'Title Contacts'!$G$2:$G$601,0))&amp;""))</f>
        <v/>
      </c>
      <c r="C45" s="24">
        <f>IF($H$4="","",IF(COUNTIF('Title Contacts'!$G$2:$G$601,$H$4&amp;"|"&amp;2)=0,"",INDEX('Title Contacts'!$D$2:$D$601,MATCH($H$4&amp;"|"&amp;2,'Title Contacts'!$G$2:$G$601,0))&amp;""))</f>
        <v/>
      </c>
      <c r="D45" s="25">
        <f>IF($H45="","",IF(ISNUMBER(SEARCH("@",$H45)),HYPERLINK("mailto:"&amp;$H45,$H45),$H45))</f>
        <v/>
      </c>
      <c r="H45">
        <f>IF($H$4="","",IF(COUNTIF('Title Contacts'!$G$2:$G$601,$H$4&amp;"|"&amp;2)=0,"",INDEX('Title Contacts'!$E$2:$E$601,MATCH($H$4&amp;"|"&amp;2,'Title Contacts'!$G$2:$G$601,0))&amp;""))</f>
        <v/>
      </c>
    </row>
    <row r="46" ht="18" customHeight="1">
      <c r="A46" s="26">
        <f>IF($H$4="","",IF(COUNTIF('Title Contacts'!$G$2:$G$601,$H$4&amp;"|"&amp;3)=0,"",INDEX('Title Contacts'!$B$2:$B$601,MATCH($H$4&amp;"|"&amp;3,'Title Contacts'!$G$2:$G$601,0))&amp;""))</f>
        <v/>
      </c>
      <c r="B46" s="27">
        <f>IF($H$4="","",IF(COUNTIF('Title Contacts'!$G$2:$G$601,$H$4&amp;"|"&amp;3)=0,"",INDEX('Title Contacts'!$C$2:$C$601,MATCH($H$4&amp;"|"&amp;3,'Title Contacts'!$G$2:$G$601,0))&amp;""))</f>
        <v/>
      </c>
      <c r="C46" s="27">
        <f>IF($H$4="","",IF(COUNTIF('Title Contacts'!$G$2:$G$601,$H$4&amp;"|"&amp;3)=0,"",INDEX('Title Contacts'!$D$2:$D$601,MATCH($H$4&amp;"|"&amp;3,'Title Contacts'!$G$2:$G$601,0))&amp;""))</f>
        <v/>
      </c>
      <c r="D46" s="28">
        <f>IF($H46="","",IF(ISNUMBER(SEARCH("@",$H46)),HYPERLINK("mailto:"&amp;$H46,$H46),$H46))</f>
        <v/>
      </c>
      <c r="E46" s="29" t="n"/>
      <c r="F46" s="29" t="n"/>
      <c r="H46">
        <f>IF($H$4="","",IF(COUNTIF('Title Contacts'!$G$2:$G$601,$H$4&amp;"|"&amp;3)=0,"",INDEX('Title Contacts'!$E$2:$E$601,MATCH($H$4&amp;"|"&amp;3,'Title Contacts'!$G$2:$G$601,0))&amp;""))</f>
        <v/>
      </c>
    </row>
    <row r="47" ht="18" customHeight="1">
      <c r="A47" s="13">
        <f>IF($H$4="","",IF(COUNTIF('Title Contacts'!$G$2:$G$601,$H$4&amp;"|"&amp;4)=0,"",INDEX('Title Contacts'!$B$2:$B$601,MATCH($H$4&amp;"|"&amp;4,'Title Contacts'!$G$2:$G$601,0))&amp;""))</f>
        <v/>
      </c>
      <c r="B47" s="24">
        <f>IF($H$4="","",IF(COUNTIF('Title Contacts'!$G$2:$G$601,$H$4&amp;"|"&amp;4)=0,"",INDEX('Title Contacts'!$C$2:$C$601,MATCH($H$4&amp;"|"&amp;4,'Title Contacts'!$G$2:$G$601,0))&amp;""))</f>
        <v/>
      </c>
      <c r="C47" s="24">
        <f>IF($H$4="","",IF(COUNTIF('Title Contacts'!$G$2:$G$601,$H$4&amp;"|"&amp;4)=0,"",INDEX('Title Contacts'!$D$2:$D$601,MATCH($H$4&amp;"|"&amp;4,'Title Contacts'!$G$2:$G$601,0))&amp;""))</f>
        <v/>
      </c>
      <c r="D47" s="25">
        <f>IF($H47="","",IF(ISNUMBER(SEARCH("@",$H47)),HYPERLINK("mailto:"&amp;$H47,$H47),$H47))</f>
        <v/>
      </c>
      <c r="H47">
        <f>IF($H$4="","",IF(COUNTIF('Title Contacts'!$G$2:$G$601,$H$4&amp;"|"&amp;4)=0,"",INDEX('Title Contacts'!$E$2:$E$601,MATCH($H$4&amp;"|"&amp;4,'Title Contacts'!$G$2:$G$601,0))&amp;""))</f>
        <v/>
      </c>
    </row>
    <row r="48" ht="18" customHeight="1">
      <c r="A48" s="26">
        <f>IF($H$4="","",IF(COUNTIF('Title Contacts'!$G$2:$G$601,$H$4&amp;"|"&amp;5)=0,"",INDEX('Title Contacts'!$B$2:$B$601,MATCH($H$4&amp;"|"&amp;5,'Title Contacts'!$G$2:$G$601,0))&amp;""))</f>
        <v/>
      </c>
      <c r="B48" s="27">
        <f>IF($H$4="","",IF(COUNTIF('Title Contacts'!$G$2:$G$601,$H$4&amp;"|"&amp;5)=0,"",INDEX('Title Contacts'!$C$2:$C$601,MATCH($H$4&amp;"|"&amp;5,'Title Contacts'!$G$2:$G$601,0))&amp;""))</f>
        <v/>
      </c>
      <c r="C48" s="27">
        <f>IF($H$4="","",IF(COUNTIF('Title Contacts'!$G$2:$G$601,$H$4&amp;"|"&amp;5)=0,"",INDEX('Title Contacts'!$D$2:$D$601,MATCH($H$4&amp;"|"&amp;5,'Title Contacts'!$G$2:$G$601,0))&amp;""))</f>
        <v/>
      </c>
      <c r="D48" s="28">
        <f>IF($H48="","",IF(ISNUMBER(SEARCH("@",$H48)),HYPERLINK("mailto:"&amp;$H48,$H48),$H48))</f>
        <v/>
      </c>
      <c r="E48" s="29" t="n"/>
      <c r="F48" s="29" t="n"/>
      <c r="H48">
        <f>IF($H$4="","",IF(COUNTIF('Title Contacts'!$G$2:$G$601,$H$4&amp;"|"&amp;5)=0,"",INDEX('Title Contacts'!$E$2:$E$601,MATCH($H$4&amp;"|"&amp;5,'Title Contacts'!$G$2:$G$601,0))&amp;""))</f>
        <v/>
      </c>
    </row>
    <row r="49" ht="18" customHeight="1">
      <c r="A49" s="13">
        <f>IF($H$4="","",IF(COUNTIF('Title Contacts'!$G$2:$G$601,$H$4&amp;"|"&amp;6)=0,"",INDEX('Title Contacts'!$B$2:$B$601,MATCH($H$4&amp;"|"&amp;6,'Title Contacts'!$G$2:$G$601,0))&amp;""))</f>
        <v/>
      </c>
      <c r="B49" s="24">
        <f>IF($H$4="","",IF(COUNTIF('Title Contacts'!$G$2:$G$601,$H$4&amp;"|"&amp;6)=0,"",INDEX('Title Contacts'!$C$2:$C$601,MATCH($H$4&amp;"|"&amp;6,'Title Contacts'!$G$2:$G$601,0))&amp;""))</f>
        <v/>
      </c>
      <c r="C49" s="24">
        <f>IF($H$4="","",IF(COUNTIF('Title Contacts'!$G$2:$G$601,$H$4&amp;"|"&amp;6)=0,"",INDEX('Title Contacts'!$D$2:$D$601,MATCH($H$4&amp;"|"&amp;6,'Title Contacts'!$G$2:$G$601,0))&amp;""))</f>
        <v/>
      </c>
      <c r="D49" s="25">
        <f>IF($H49="","",IF(ISNUMBER(SEARCH("@",$H49)),HYPERLINK("mailto:"&amp;$H49,$H49),$H49))</f>
        <v/>
      </c>
      <c r="H49">
        <f>IF($H$4="","",IF(COUNTIF('Title Contacts'!$G$2:$G$601,$H$4&amp;"|"&amp;6)=0,"",INDEX('Title Contacts'!$E$2:$E$601,MATCH($H$4&amp;"|"&amp;6,'Title Contacts'!$G$2:$G$601,0))&amp;""))</f>
        <v/>
      </c>
    </row>
    <row r="50" ht="18" customHeight="1">
      <c r="A50" s="13" t="inlineStr">
        <is>
          <t>Team / Group Email</t>
        </is>
      </c>
      <c r="B50" s="25">
        <f>IF($H50="","-",IF(ISNUMBER(SEARCH("@",$H50)),HYPERLINK("mailto:"&amp;$H50,$H50),$H50))</f>
        <v/>
      </c>
      <c r="H50">
        <f>IF($H$3="","",INDEX('Title Companies'!$B$2:$B$101,$H$3)&amp;"")</f>
        <v/>
      </c>
    </row>
    <row r="51" ht="18" customHeight="1">
      <c r="A51" s="13" t="inlineStr">
        <is>
          <t>Office Phone</t>
        </is>
      </c>
      <c r="B51" s="24">
        <f>IF($H$3="","-",IF(INDEX('Title Companies'!$C$2:$C$101,$H$3)="","-",INDEX('Title Companies'!$C$2:$C$101,$H$3)))</f>
        <v/>
      </c>
    </row>
    <row r="52" ht="18" customHeight="1">
      <c r="A52" s="13" t="inlineStr">
        <is>
          <t>Office Address</t>
        </is>
      </c>
      <c r="B52" s="24">
        <f>IF($H$3="","-",IF(INDEX('Title Companies'!$D$2:$D$101,$H$3)="","-",INDEX('Title Companies'!$D$2:$D$101,$H$3)))</f>
        <v/>
      </c>
    </row>
    <row r="53" ht="40" customHeight="1">
      <c r="A53" s="13" t="inlineStr">
        <is>
          <t>Title Notes</t>
        </is>
      </c>
      <c r="B53" s="5">
        <f>IF($H$3="","-",IF(INDEX('Title Companies'!$E$2:$E$101,$H$3)="","-",INDEX('Title Companies'!$E$2:$E$101,$H$3)))</f>
        <v/>
      </c>
    </row>
  </sheetData>
  <sheetProtection selectLockedCells="0" selectUnlockedCells="0" sheet="1" objects="0" insertRows="1" insertHyperlinks="1" autoFilter="1" scenarios="0" formatColumns="1" deleteColumns="1" insertColumns="1" pivotTables="1" deleteRows="1" formatCells="1" formatRows="1" sort="1"/>
  <mergeCells count="16">
    <mergeCell ref="A41:F41"/>
    <mergeCell ref="A2:F2"/>
    <mergeCell ref="B53:F53"/>
    <mergeCell ref="B12:F12"/>
    <mergeCell ref="B15:F15"/>
    <mergeCell ref="B10:F10"/>
    <mergeCell ref="A1:F1"/>
    <mergeCell ref="A5:F5"/>
    <mergeCell ref="B11:F11"/>
    <mergeCell ref="B14:F14"/>
    <mergeCell ref="A17:F17"/>
    <mergeCell ref="B8:F8"/>
    <mergeCell ref="A39:F39"/>
    <mergeCell ref="B13:F13"/>
    <mergeCell ref="B9:F9"/>
    <mergeCell ref="A7:F7"/>
  </mergeCells>
  <conditionalFormatting sqref="A5:F5">
    <cfRule type="expression" priority="1" dxfId="0">
      <formula>LEFT($A$5,13)="STILL MISSING"</formula>
    </cfRule>
    <cfRule type="expression" priority="2" dxfId="1">
      <formula>LEFT($A$5,7)="Nothing"</formula>
    </cfRule>
  </conditionalFormatting>
  <dataValidations count="1">
    <dataValidation sqref="B4" showDropDown="0" showInputMessage="0" showErrorMessage="0" allowBlank="1" type="list">
      <formula1>BuilderList</formula1>
    </dataValidation>
  </dataValidations>
  <printOptions horizontalCentered="1"/>
  <pageMargins left="0.75" right="0.75" top="1" bottom="1" header="0.5" footer="0.5"/>
  <pageSetup orientation="portrait" paperSize="1" fitToHeight="1" fitToWidth="1"/>
  <headerFooter>
    <oddHeader/>
    <oddFooter>&amp;C&amp;A - printed &amp;D</oddFooter>
    <evenHeader/>
    <evenFooter/>
    <firstHeader/>
    <firstFooter/>
  </headerFooter>
</worksheet>
</file>

<file path=xl/worksheets/sheet3.xml><?xml version="1.0" encoding="utf-8"?>
<worksheet xmlns="http://schemas.openxmlformats.org/spreadsheetml/2006/main">
  <sheetPr>
    <tabColor rgb="00548235"/>
    <outlinePr summaryBelow="1" summaryRight="1"/>
    <pageSetUpPr/>
  </sheetPr>
  <dimension ref="A1:I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34" customWidth="1" min="3" max="3"/>
    <col width="16" customWidth="1" min="4" max="4"/>
    <col width="22" customWidth="1" min="5" max="5"/>
    <col width="55" customWidth="1" min="6" max="6"/>
    <col width="45" customWidth="1" min="7" max="7"/>
    <col width="40" customWidth="1" min="8" max="8"/>
    <col width="30" customWidth="1" min="9" max="9"/>
  </cols>
  <sheetData>
    <row r="1" ht="28" customHeight="1">
      <c r="A1" s="17" t="inlineStr">
        <is>
          <t>Builder Name</t>
        </is>
      </c>
      <c r="B1" s="17" t="inlineStr">
        <is>
          <t>Title Company</t>
        </is>
      </c>
      <c r="C1" s="17" t="inlineStr">
        <is>
          <t>Dropbox Folder (paste full link)</t>
        </is>
      </c>
      <c r="D1" s="17" t="inlineStr">
        <is>
          <t>Concession Amount / %</t>
        </is>
      </c>
      <c r="E1" s="17" t="inlineStr">
        <is>
          <t>Concessions Calculated From</t>
        </is>
      </c>
      <c r="F1" s="17" t="inlineStr">
        <is>
          <t>Allowed Uses &amp; Concession Details</t>
        </is>
      </c>
      <c r="G1" s="17" t="inlineStr">
        <is>
          <t>Special Process &amp; Incentives</t>
        </is>
      </c>
      <c r="H1" s="17" t="inlineStr">
        <is>
          <t>Communication Rules (who to CC, etc.)</t>
        </is>
      </c>
      <c r="I1" s="17" t="inlineStr">
        <is>
          <t>General Notes</t>
        </is>
      </c>
    </row>
    <row r="2">
      <c r="A2" s="18" t="n"/>
      <c r="B2" s="18" t="n"/>
      <c r="C2" s="5" t="n"/>
      <c r="D2" s="30" t="n"/>
      <c r="E2" s="18" t="n"/>
      <c r="F2" s="5" t="n"/>
      <c r="G2" s="5" t="n"/>
      <c r="H2" s="5" t="n"/>
      <c r="I2" s="5" t="n"/>
    </row>
    <row r="3">
      <c r="A3" s="18" t="n"/>
      <c r="B3" s="18" t="n"/>
      <c r="C3" s="5" t="n"/>
      <c r="D3" s="30" t="n"/>
      <c r="E3" s="18" t="n"/>
      <c r="F3" s="5" t="n"/>
      <c r="G3" s="5" t="n"/>
      <c r="H3" s="5" t="n"/>
      <c r="I3" s="5" t="n"/>
    </row>
    <row r="4">
      <c r="A4" s="18" t="n"/>
      <c r="B4" s="18" t="n"/>
      <c r="C4" s="5" t="n"/>
      <c r="D4" s="30" t="n"/>
      <c r="E4" s="18" t="n"/>
      <c r="F4" s="5" t="n"/>
      <c r="G4" s="5" t="n"/>
      <c r="H4" s="5" t="n"/>
      <c r="I4" s="5" t="n"/>
    </row>
    <row r="5">
      <c r="A5" s="18" t="n"/>
      <c r="B5" s="18" t="n"/>
      <c r="C5" s="5" t="n"/>
      <c r="D5" s="30" t="n"/>
      <c r="E5" s="18" t="n"/>
      <c r="F5" s="5" t="n"/>
      <c r="G5" s="5" t="n"/>
      <c r="H5" s="5" t="n"/>
      <c r="I5" s="5" t="n"/>
    </row>
    <row r="6">
      <c r="A6" s="18" t="n"/>
      <c r="B6" s="18" t="n"/>
      <c r="C6" s="5" t="n"/>
      <c r="D6" s="30" t="n"/>
      <c r="E6" s="18" t="n"/>
      <c r="F6" s="5" t="n"/>
      <c r="G6" s="5" t="n"/>
      <c r="H6" s="5" t="n"/>
      <c r="I6" s="5" t="n"/>
    </row>
    <row r="7">
      <c r="A7" s="18" t="n"/>
      <c r="B7" s="18" t="n"/>
      <c r="C7" s="5" t="n"/>
      <c r="D7" s="30" t="n"/>
      <c r="E7" s="18" t="n"/>
      <c r="F7" s="5" t="n"/>
      <c r="G7" s="5" t="n"/>
      <c r="H7" s="5" t="n"/>
      <c r="I7" s="5" t="n"/>
    </row>
    <row r="8">
      <c r="A8" s="18" t="n"/>
      <c r="B8" s="18" t="n"/>
      <c r="C8" s="5" t="n"/>
      <c r="D8" s="30" t="n"/>
      <c r="E8" s="18" t="n"/>
      <c r="F8" s="5" t="n"/>
      <c r="G8" s="5" t="n"/>
      <c r="H8" s="5" t="n"/>
      <c r="I8" s="5" t="n"/>
    </row>
    <row r="9">
      <c r="A9" s="18" t="n"/>
      <c r="B9" s="18" t="n"/>
      <c r="C9" s="5" t="n"/>
      <c r="D9" s="30" t="n"/>
      <c r="E9" s="18" t="n"/>
      <c r="F9" s="5" t="n"/>
      <c r="G9" s="5" t="n"/>
      <c r="H9" s="5" t="n"/>
      <c r="I9" s="5" t="n"/>
    </row>
    <row r="10">
      <c r="A10" s="18" t="n"/>
      <c r="B10" s="18" t="n"/>
      <c r="C10" s="5" t="n"/>
      <c r="D10" s="30" t="n"/>
      <c r="E10" s="18" t="n"/>
      <c r="F10" s="5" t="n"/>
      <c r="G10" s="5" t="n"/>
      <c r="H10" s="5" t="n"/>
      <c r="I10" s="5" t="n"/>
    </row>
    <row r="11">
      <c r="A11" s="18" t="n"/>
      <c r="B11" s="18" t="n"/>
      <c r="C11" s="5" t="n"/>
      <c r="D11" s="30" t="n"/>
      <c r="E11" s="18" t="n"/>
      <c r="F11" s="5" t="n"/>
      <c r="G11" s="5" t="n"/>
      <c r="H11" s="5" t="n"/>
      <c r="I11" s="5" t="n"/>
    </row>
    <row r="12">
      <c r="A12" s="18" t="n"/>
      <c r="B12" s="18" t="n"/>
      <c r="C12" s="5" t="n"/>
      <c r="D12" s="30" t="n"/>
      <c r="E12" s="18" t="n"/>
      <c r="F12" s="5" t="n"/>
      <c r="G12" s="5" t="n"/>
      <c r="H12" s="5" t="n"/>
      <c r="I12" s="5" t="n"/>
    </row>
    <row r="13">
      <c r="A13" s="18" t="n"/>
      <c r="B13" s="18" t="n"/>
      <c r="C13" s="5" t="n"/>
      <c r="D13" s="30" t="n"/>
      <c r="E13" s="18" t="n"/>
      <c r="F13" s="5" t="n"/>
      <c r="G13" s="5" t="n"/>
      <c r="H13" s="5" t="n"/>
      <c r="I13" s="5" t="n"/>
    </row>
    <row r="14">
      <c r="A14" s="18" t="n"/>
      <c r="B14" s="18" t="n"/>
      <c r="C14" s="5" t="n"/>
      <c r="D14" s="30" t="n"/>
      <c r="E14" s="18" t="n"/>
      <c r="F14" s="5" t="n"/>
      <c r="G14" s="5" t="n"/>
      <c r="H14" s="5" t="n"/>
      <c r="I14" s="5" t="n"/>
    </row>
    <row r="15">
      <c r="A15" s="18" t="n"/>
      <c r="B15" s="18" t="n"/>
      <c r="C15" s="5" t="n"/>
      <c r="D15" s="30" t="n"/>
      <c r="E15" s="18" t="n"/>
      <c r="F15" s="5" t="n"/>
      <c r="G15" s="5" t="n"/>
      <c r="H15" s="5" t="n"/>
      <c r="I15" s="5" t="n"/>
    </row>
    <row r="16">
      <c r="A16" s="18" t="n"/>
      <c r="B16" s="18" t="n"/>
      <c r="C16" s="5" t="n"/>
      <c r="D16" s="30" t="n"/>
      <c r="E16" s="18" t="n"/>
      <c r="F16" s="5" t="n"/>
      <c r="G16" s="5" t="n"/>
      <c r="H16" s="5" t="n"/>
      <c r="I16" s="5" t="n"/>
    </row>
    <row r="17">
      <c r="A17" s="18" t="n"/>
      <c r="B17" s="18" t="n"/>
      <c r="C17" s="5" t="n"/>
      <c r="D17" s="30" t="n"/>
      <c r="E17" s="18" t="n"/>
      <c r="F17" s="5" t="n"/>
      <c r="G17" s="5" t="n"/>
      <c r="H17" s="5" t="n"/>
      <c r="I17" s="5" t="n"/>
    </row>
    <row r="18">
      <c r="A18" s="18" t="n"/>
      <c r="B18" s="18" t="n"/>
      <c r="C18" s="5" t="n"/>
      <c r="D18" s="30" t="n"/>
      <c r="E18" s="18" t="n"/>
      <c r="F18" s="5" t="n"/>
      <c r="G18" s="5" t="n"/>
      <c r="H18" s="5" t="n"/>
      <c r="I18" s="5" t="n"/>
    </row>
    <row r="19">
      <c r="A19" s="18" t="n"/>
      <c r="B19" s="18" t="n"/>
      <c r="C19" s="5" t="n"/>
      <c r="D19" s="30" t="n"/>
      <c r="E19" s="18" t="n"/>
      <c r="F19" s="5" t="n"/>
      <c r="G19" s="5" t="n"/>
      <c r="H19" s="5" t="n"/>
      <c r="I19" s="5" t="n"/>
    </row>
    <row r="20">
      <c r="A20" s="18" t="n"/>
      <c r="B20" s="18" t="n"/>
      <c r="C20" s="5" t="n"/>
      <c r="D20" s="30" t="n"/>
      <c r="E20" s="18" t="n"/>
      <c r="F20" s="5" t="n"/>
      <c r="G20" s="5" t="n"/>
      <c r="H20" s="5" t="n"/>
      <c r="I20" s="5" t="n"/>
    </row>
    <row r="21">
      <c r="A21" s="18" t="n"/>
      <c r="B21" s="18" t="n"/>
      <c r="C21" s="5" t="n"/>
      <c r="D21" s="30" t="n"/>
      <c r="E21" s="18" t="n"/>
      <c r="F21" s="5" t="n"/>
      <c r="G21" s="5" t="n"/>
      <c r="H21" s="5" t="n"/>
      <c r="I21" s="5" t="n"/>
    </row>
    <row r="22">
      <c r="A22" s="18" t="n"/>
      <c r="B22" s="18" t="n"/>
      <c r="C22" s="5" t="n"/>
      <c r="D22" s="30" t="n"/>
      <c r="E22" s="18" t="n"/>
      <c r="F22" s="5" t="n"/>
      <c r="G22" s="5" t="n"/>
      <c r="H22" s="5" t="n"/>
      <c r="I22" s="5" t="n"/>
    </row>
    <row r="23">
      <c r="A23" s="18" t="n"/>
      <c r="B23" s="18" t="n"/>
      <c r="C23" s="5" t="n"/>
      <c r="D23" s="30" t="n"/>
      <c r="E23" s="18" t="n"/>
      <c r="F23" s="5" t="n"/>
      <c r="G23" s="5" t="n"/>
      <c r="H23" s="5" t="n"/>
      <c r="I23" s="5" t="n"/>
    </row>
    <row r="24">
      <c r="A24" s="18" t="n"/>
      <c r="B24" s="18" t="n"/>
      <c r="C24" s="5" t="n"/>
      <c r="D24" s="30" t="n"/>
      <c r="E24" s="18" t="n"/>
      <c r="F24" s="5" t="n"/>
      <c r="G24" s="5" t="n"/>
      <c r="H24" s="5" t="n"/>
      <c r="I24" s="5" t="n"/>
    </row>
    <row r="25">
      <c r="A25" s="18" t="n"/>
      <c r="B25" s="18" t="n"/>
      <c r="C25" s="5" t="n"/>
      <c r="D25" s="30" t="n"/>
      <c r="E25" s="18" t="n"/>
      <c r="F25" s="5" t="n"/>
      <c r="G25" s="5" t="n"/>
      <c r="H25" s="5" t="n"/>
      <c r="I25" s="5" t="n"/>
    </row>
    <row r="26">
      <c r="A26" s="18" t="n"/>
      <c r="B26" s="18" t="n"/>
      <c r="C26" s="5" t="n"/>
      <c r="D26" s="30" t="n"/>
      <c r="E26" s="18" t="n"/>
      <c r="F26" s="5" t="n"/>
      <c r="G26" s="5" t="n"/>
      <c r="H26" s="5" t="n"/>
      <c r="I26" s="5" t="n"/>
    </row>
    <row r="27">
      <c r="A27" s="18" t="n"/>
      <c r="B27" s="18" t="n"/>
      <c r="C27" s="5" t="n"/>
      <c r="D27" s="30" t="n"/>
      <c r="E27" s="18" t="n"/>
      <c r="F27" s="5" t="n"/>
      <c r="G27" s="5" t="n"/>
      <c r="H27" s="5" t="n"/>
      <c r="I27" s="5" t="n"/>
    </row>
    <row r="28">
      <c r="A28" s="18" t="n"/>
      <c r="B28" s="18" t="n"/>
      <c r="C28" s="5" t="n"/>
      <c r="D28" s="30" t="n"/>
      <c r="E28" s="18" t="n"/>
      <c r="F28" s="5" t="n"/>
      <c r="G28" s="5" t="n"/>
      <c r="H28" s="5" t="n"/>
      <c r="I28" s="5" t="n"/>
    </row>
    <row r="29">
      <c r="A29" s="18" t="n"/>
      <c r="B29" s="18" t="n"/>
      <c r="C29" s="5" t="n"/>
      <c r="D29" s="30" t="n"/>
      <c r="E29" s="18" t="n"/>
      <c r="F29" s="5" t="n"/>
      <c r="G29" s="5" t="n"/>
      <c r="H29" s="5" t="n"/>
      <c r="I29" s="5" t="n"/>
    </row>
    <row r="30">
      <c r="A30" s="18" t="n"/>
      <c r="B30" s="18" t="n"/>
      <c r="C30" s="5" t="n"/>
      <c r="D30" s="30" t="n"/>
      <c r="E30" s="18" t="n"/>
      <c r="F30" s="5" t="n"/>
      <c r="G30" s="5" t="n"/>
      <c r="H30" s="5" t="n"/>
      <c r="I30" s="5" t="n"/>
    </row>
    <row r="31">
      <c r="A31" s="18" t="n"/>
      <c r="B31" s="18" t="n"/>
      <c r="C31" s="5" t="n"/>
      <c r="D31" s="30" t="n"/>
      <c r="E31" s="18" t="n"/>
      <c r="F31" s="5" t="n"/>
      <c r="G31" s="5" t="n"/>
      <c r="H31" s="5" t="n"/>
      <c r="I31" s="5" t="n"/>
    </row>
    <row r="32">
      <c r="A32" s="18" t="n"/>
      <c r="B32" s="18" t="n"/>
      <c r="C32" s="5" t="n"/>
      <c r="D32" s="30" t="n"/>
      <c r="E32" s="18" t="n"/>
      <c r="F32" s="5" t="n"/>
      <c r="G32" s="5" t="n"/>
      <c r="H32" s="5" t="n"/>
      <c r="I32" s="5" t="n"/>
    </row>
    <row r="33">
      <c r="A33" s="18" t="n"/>
      <c r="B33" s="18" t="n"/>
      <c r="C33" s="5" t="n"/>
      <c r="D33" s="30" t="n"/>
      <c r="E33" s="18" t="n"/>
      <c r="F33" s="5" t="n"/>
      <c r="G33" s="5" t="n"/>
      <c r="H33" s="5" t="n"/>
      <c r="I33" s="5" t="n"/>
    </row>
    <row r="34">
      <c r="A34" s="18" t="n"/>
      <c r="B34" s="18" t="n"/>
      <c r="C34" s="5" t="n"/>
      <c r="D34" s="30" t="n"/>
      <c r="E34" s="18" t="n"/>
      <c r="F34" s="5" t="n"/>
      <c r="G34" s="5" t="n"/>
      <c r="H34" s="5" t="n"/>
      <c r="I34" s="5" t="n"/>
    </row>
    <row r="35">
      <c r="A35" s="18" t="n"/>
      <c r="B35" s="18" t="n"/>
      <c r="C35" s="5" t="n"/>
      <c r="D35" s="30" t="n"/>
      <c r="E35" s="18" t="n"/>
      <c r="F35" s="5" t="n"/>
      <c r="G35" s="5" t="n"/>
      <c r="H35" s="5" t="n"/>
      <c r="I35" s="5" t="n"/>
    </row>
    <row r="36">
      <c r="A36" s="18" t="n"/>
      <c r="B36" s="18" t="n"/>
      <c r="C36" s="5" t="n"/>
      <c r="D36" s="30" t="n"/>
      <c r="E36" s="18" t="n"/>
      <c r="F36" s="5" t="n"/>
      <c r="G36" s="5" t="n"/>
      <c r="H36" s="5" t="n"/>
      <c r="I36" s="5" t="n"/>
    </row>
    <row r="37">
      <c r="A37" s="18" t="n"/>
      <c r="B37" s="18" t="n"/>
      <c r="C37" s="5" t="n"/>
      <c r="D37" s="30" t="n"/>
      <c r="E37" s="18" t="n"/>
      <c r="F37" s="5" t="n"/>
      <c r="G37" s="5" t="n"/>
      <c r="H37" s="5" t="n"/>
      <c r="I37" s="5" t="n"/>
    </row>
    <row r="38">
      <c r="A38" s="18" t="n"/>
      <c r="B38" s="18" t="n"/>
      <c r="C38" s="5" t="n"/>
      <c r="D38" s="30" t="n"/>
      <c r="E38" s="18" t="n"/>
      <c r="F38" s="5" t="n"/>
      <c r="G38" s="5" t="n"/>
      <c r="H38" s="5" t="n"/>
      <c r="I38" s="5" t="n"/>
    </row>
    <row r="39">
      <c r="A39" s="18" t="n"/>
      <c r="B39" s="18" t="n"/>
      <c r="C39" s="5" t="n"/>
      <c r="D39" s="30" t="n"/>
      <c r="E39" s="18" t="n"/>
      <c r="F39" s="5" t="n"/>
      <c r="G39" s="5" t="n"/>
      <c r="H39" s="5" t="n"/>
      <c r="I39" s="5" t="n"/>
    </row>
    <row r="40">
      <c r="A40" s="18" t="n"/>
      <c r="B40" s="18" t="n"/>
      <c r="C40" s="5" t="n"/>
      <c r="D40" s="30" t="n"/>
      <c r="E40" s="18" t="n"/>
      <c r="F40" s="5" t="n"/>
      <c r="G40" s="5" t="n"/>
      <c r="H40" s="5" t="n"/>
      <c r="I40" s="5" t="n"/>
    </row>
    <row r="41">
      <c r="A41" s="18" t="n"/>
      <c r="B41" s="18" t="n"/>
      <c r="C41" s="5" t="n"/>
      <c r="D41" s="30" t="n"/>
      <c r="E41" s="18" t="n"/>
      <c r="F41" s="5" t="n"/>
      <c r="G41" s="5" t="n"/>
      <c r="H41" s="5" t="n"/>
      <c r="I41" s="5" t="n"/>
    </row>
    <row r="42">
      <c r="A42" s="18" t="n"/>
      <c r="B42" s="18" t="n"/>
      <c r="C42" s="5" t="n"/>
      <c r="D42" s="30" t="n"/>
      <c r="E42" s="18" t="n"/>
      <c r="F42" s="5" t="n"/>
      <c r="G42" s="5" t="n"/>
      <c r="H42" s="5" t="n"/>
      <c r="I42" s="5" t="n"/>
    </row>
    <row r="43">
      <c r="A43" s="18" t="n"/>
      <c r="B43" s="18" t="n"/>
      <c r="C43" s="5" t="n"/>
      <c r="D43" s="30" t="n"/>
      <c r="E43" s="18" t="n"/>
      <c r="F43" s="5" t="n"/>
      <c r="G43" s="5" t="n"/>
      <c r="H43" s="5" t="n"/>
      <c r="I43" s="5" t="n"/>
    </row>
    <row r="44">
      <c r="A44" s="18" t="n"/>
      <c r="B44" s="18" t="n"/>
      <c r="C44" s="5" t="n"/>
      <c r="D44" s="30" t="n"/>
      <c r="E44" s="18" t="n"/>
      <c r="F44" s="5" t="n"/>
      <c r="G44" s="5" t="n"/>
      <c r="H44" s="5" t="n"/>
      <c r="I44" s="5" t="n"/>
    </row>
    <row r="45">
      <c r="A45" s="18" t="n"/>
      <c r="B45" s="18" t="n"/>
      <c r="C45" s="5" t="n"/>
      <c r="D45" s="30" t="n"/>
      <c r="E45" s="18" t="n"/>
      <c r="F45" s="5" t="n"/>
      <c r="G45" s="5" t="n"/>
      <c r="H45" s="5" t="n"/>
      <c r="I45" s="5" t="n"/>
    </row>
    <row r="46">
      <c r="A46" s="18" t="n"/>
      <c r="B46" s="18" t="n"/>
      <c r="C46" s="5" t="n"/>
      <c r="D46" s="30" t="n"/>
      <c r="E46" s="18" t="n"/>
      <c r="F46" s="5" t="n"/>
      <c r="G46" s="5" t="n"/>
      <c r="H46" s="5" t="n"/>
      <c r="I46" s="5" t="n"/>
    </row>
    <row r="47">
      <c r="A47" s="18" t="n"/>
      <c r="B47" s="18" t="n"/>
      <c r="C47" s="5" t="n"/>
      <c r="D47" s="30" t="n"/>
      <c r="E47" s="18" t="n"/>
      <c r="F47" s="5" t="n"/>
      <c r="G47" s="5" t="n"/>
      <c r="H47" s="5" t="n"/>
      <c r="I47" s="5" t="n"/>
    </row>
    <row r="48">
      <c r="A48" s="18" t="n"/>
      <c r="B48" s="18" t="n"/>
      <c r="C48" s="5" t="n"/>
      <c r="D48" s="30" t="n"/>
      <c r="E48" s="18" t="n"/>
      <c r="F48" s="5" t="n"/>
      <c r="G48" s="5" t="n"/>
      <c r="H48" s="5" t="n"/>
      <c r="I48" s="5" t="n"/>
    </row>
    <row r="49">
      <c r="A49" s="18" t="n"/>
      <c r="B49" s="18" t="n"/>
      <c r="C49" s="5" t="n"/>
      <c r="D49" s="30" t="n"/>
      <c r="E49" s="18" t="n"/>
      <c r="F49" s="5" t="n"/>
      <c r="G49" s="5" t="n"/>
      <c r="H49" s="5" t="n"/>
      <c r="I49" s="5" t="n"/>
    </row>
    <row r="50">
      <c r="A50" s="18" t="n"/>
      <c r="B50" s="18" t="n"/>
      <c r="C50" s="5" t="n"/>
      <c r="D50" s="30" t="n"/>
      <c r="E50" s="18" t="n"/>
      <c r="F50" s="5" t="n"/>
      <c r="G50" s="5" t="n"/>
      <c r="H50" s="5" t="n"/>
      <c r="I50" s="5" t="n"/>
    </row>
    <row r="51">
      <c r="A51" s="18" t="n"/>
      <c r="B51" s="18" t="n"/>
      <c r="C51" s="5" t="n"/>
      <c r="D51" s="30" t="n"/>
      <c r="E51" s="18" t="n"/>
      <c r="F51" s="5" t="n"/>
      <c r="G51" s="5" t="n"/>
      <c r="H51" s="5" t="n"/>
      <c r="I51" s="5" t="n"/>
    </row>
    <row r="52">
      <c r="A52" s="18" t="n"/>
      <c r="B52" s="18" t="n"/>
      <c r="C52" s="5" t="n"/>
      <c r="D52" s="30" t="n"/>
      <c r="E52" s="18" t="n"/>
      <c r="F52" s="5" t="n"/>
      <c r="G52" s="5" t="n"/>
      <c r="H52" s="5" t="n"/>
      <c r="I52" s="5" t="n"/>
    </row>
    <row r="53">
      <c r="A53" s="18" t="n"/>
      <c r="B53" s="18" t="n"/>
      <c r="C53" s="5" t="n"/>
      <c r="D53" s="30" t="n"/>
      <c r="E53" s="18" t="n"/>
      <c r="F53" s="5" t="n"/>
      <c r="G53" s="5" t="n"/>
      <c r="H53" s="5" t="n"/>
      <c r="I53" s="5" t="n"/>
    </row>
    <row r="54">
      <c r="A54" s="18" t="n"/>
      <c r="B54" s="18" t="n"/>
      <c r="C54" s="5" t="n"/>
      <c r="D54" s="30" t="n"/>
      <c r="E54" s="18" t="n"/>
      <c r="F54" s="5" t="n"/>
      <c r="G54" s="5" t="n"/>
      <c r="H54" s="5" t="n"/>
      <c r="I54" s="5" t="n"/>
    </row>
    <row r="55">
      <c r="A55" s="18" t="n"/>
      <c r="B55" s="18" t="n"/>
      <c r="C55" s="5" t="n"/>
      <c r="D55" s="30" t="n"/>
      <c r="E55" s="18" t="n"/>
      <c r="F55" s="5" t="n"/>
      <c r="G55" s="5" t="n"/>
      <c r="H55" s="5" t="n"/>
      <c r="I55" s="5" t="n"/>
    </row>
    <row r="56">
      <c r="A56" s="18" t="n"/>
      <c r="B56" s="18" t="n"/>
      <c r="C56" s="5" t="n"/>
      <c r="D56" s="30" t="n"/>
      <c r="E56" s="18" t="n"/>
      <c r="F56" s="5" t="n"/>
      <c r="G56" s="5" t="n"/>
      <c r="H56" s="5" t="n"/>
      <c r="I56" s="5" t="n"/>
    </row>
    <row r="57">
      <c r="A57" s="18" t="n"/>
      <c r="B57" s="18" t="n"/>
      <c r="C57" s="5" t="n"/>
      <c r="D57" s="30" t="n"/>
      <c r="E57" s="18" t="n"/>
      <c r="F57" s="5" t="n"/>
      <c r="G57" s="5" t="n"/>
      <c r="H57" s="5" t="n"/>
      <c r="I57" s="5" t="n"/>
    </row>
    <row r="58">
      <c r="A58" s="18" t="n"/>
      <c r="B58" s="18" t="n"/>
      <c r="C58" s="5" t="n"/>
      <c r="D58" s="30" t="n"/>
      <c r="E58" s="18" t="n"/>
      <c r="F58" s="5" t="n"/>
      <c r="G58" s="5" t="n"/>
      <c r="H58" s="5" t="n"/>
      <c r="I58" s="5" t="n"/>
    </row>
    <row r="59">
      <c r="A59" s="18" t="n"/>
      <c r="B59" s="18" t="n"/>
      <c r="C59" s="5" t="n"/>
      <c r="D59" s="30" t="n"/>
      <c r="E59" s="18" t="n"/>
      <c r="F59" s="5" t="n"/>
      <c r="G59" s="5" t="n"/>
      <c r="H59" s="5" t="n"/>
      <c r="I59" s="5" t="n"/>
    </row>
    <row r="60">
      <c r="A60" s="18" t="n"/>
      <c r="B60" s="18" t="n"/>
      <c r="C60" s="5" t="n"/>
      <c r="D60" s="30" t="n"/>
      <c r="E60" s="18" t="n"/>
      <c r="F60" s="5" t="n"/>
      <c r="G60" s="5" t="n"/>
      <c r="H60" s="5" t="n"/>
      <c r="I60" s="5" t="n"/>
    </row>
    <row r="61">
      <c r="A61" s="18" t="n"/>
      <c r="B61" s="18" t="n"/>
      <c r="C61" s="5" t="n"/>
      <c r="D61" s="30" t="n"/>
      <c r="E61" s="18" t="n"/>
      <c r="F61" s="5" t="n"/>
      <c r="G61" s="5" t="n"/>
      <c r="H61" s="5" t="n"/>
      <c r="I61" s="5" t="n"/>
    </row>
    <row r="62">
      <c r="A62" s="18" t="n"/>
      <c r="B62" s="18" t="n"/>
      <c r="C62" s="5" t="n"/>
      <c r="D62" s="30" t="n"/>
      <c r="E62" s="18" t="n"/>
      <c r="F62" s="5" t="n"/>
      <c r="G62" s="5" t="n"/>
      <c r="H62" s="5" t="n"/>
      <c r="I62" s="5" t="n"/>
    </row>
    <row r="63">
      <c r="A63" s="18" t="n"/>
      <c r="B63" s="18" t="n"/>
      <c r="C63" s="5" t="n"/>
      <c r="D63" s="30" t="n"/>
      <c r="E63" s="18" t="n"/>
      <c r="F63" s="5" t="n"/>
      <c r="G63" s="5" t="n"/>
      <c r="H63" s="5" t="n"/>
      <c r="I63" s="5" t="n"/>
    </row>
    <row r="64">
      <c r="A64" s="18" t="n"/>
      <c r="B64" s="18" t="n"/>
      <c r="C64" s="5" t="n"/>
      <c r="D64" s="30" t="n"/>
      <c r="E64" s="18" t="n"/>
      <c r="F64" s="5" t="n"/>
      <c r="G64" s="5" t="n"/>
      <c r="H64" s="5" t="n"/>
      <c r="I64" s="5" t="n"/>
    </row>
    <row r="65">
      <c r="A65" s="18" t="n"/>
      <c r="B65" s="18" t="n"/>
      <c r="C65" s="5" t="n"/>
      <c r="D65" s="30" t="n"/>
      <c r="E65" s="18" t="n"/>
      <c r="F65" s="5" t="n"/>
      <c r="G65" s="5" t="n"/>
      <c r="H65" s="5" t="n"/>
      <c r="I65" s="5" t="n"/>
    </row>
    <row r="66">
      <c r="A66" s="18" t="n"/>
      <c r="B66" s="18" t="n"/>
      <c r="C66" s="5" t="n"/>
      <c r="D66" s="30" t="n"/>
      <c r="E66" s="18" t="n"/>
      <c r="F66" s="5" t="n"/>
      <c r="G66" s="5" t="n"/>
      <c r="H66" s="5" t="n"/>
      <c r="I66" s="5" t="n"/>
    </row>
    <row r="67">
      <c r="A67" s="18" t="n"/>
      <c r="B67" s="18" t="n"/>
      <c r="C67" s="5" t="n"/>
      <c r="D67" s="30" t="n"/>
      <c r="E67" s="18" t="n"/>
      <c r="F67" s="5" t="n"/>
      <c r="G67" s="5" t="n"/>
      <c r="H67" s="5" t="n"/>
      <c r="I67" s="5" t="n"/>
    </row>
    <row r="68">
      <c r="A68" s="18" t="n"/>
      <c r="B68" s="18" t="n"/>
      <c r="C68" s="5" t="n"/>
      <c r="D68" s="30" t="n"/>
      <c r="E68" s="18" t="n"/>
      <c r="F68" s="5" t="n"/>
      <c r="G68" s="5" t="n"/>
      <c r="H68" s="5" t="n"/>
      <c r="I68" s="5" t="n"/>
    </row>
    <row r="69">
      <c r="A69" s="18" t="n"/>
      <c r="B69" s="18" t="n"/>
      <c r="C69" s="5" t="n"/>
      <c r="D69" s="30" t="n"/>
      <c r="E69" s="18" t="n"/>
      <c r="F69" s="5" t="n"/>
      <c r="G69" s="5" t="n"/>
      <c r="H69" s="5" t="n"/>
      <c r="I69" s="5" t="n"/>
    </row>
    <row r="70">
      <c r="A70" s="18" t="n"/>
      <c r="B70" s="18" t="n"/>
      <c r="C70" s="5" t="n"/>
      <c r="D70" s="30" t="n"/>
      <c r="E70" s="18" t="n"/>
      <c r="F70" s="5" t="n"/>
      <c r="G70" s="5" t="n"/>
      <c r="H70" s="5" t="n"/>
      <c r="I70" s="5" t="n"/>
    </row>
    <row r="71">
      <c r="A71" s="18" t="n"/>
      <c r="B71" s="18" t="n"/>
      <c r="C71" s="5" t="n"/>
      <c r="D71" s="30" t="n"/>
      <c r="E71" s="18" t="n"/>
      <c r="F71" s="5" t="n"/>
      <c r="G71" s="5" t="n"/>
      <c r="H71" s="5" t="n"/>
      <c r="I71" s="5" t="n"/>
    </row>
    <row r="72">
      <c r="A72" s="18" t="n"/>
      <c r="B72" s="18" t="n"/>
      <c r="C72" s="5" t="n"/>
      <c r="D72" s="30" t="n"/>
      <c r="E72" s="18" t="n"/>
      <c r="F72" s="5" t="n"/>
      <c r="G72" s="5" t="n"/>
      <c r="H72" s="5" t="n"/>
      <c r="I72" s="5" t="n"/>
    </row>
    <row r="73">
      <c r="A73" s="18" t="n"/>
      <c r="B73" s="18" t="n"/>
      <c r="C73" s="5" t="n"/>
      <c r="D73" s="30" t="n"/>
      <c r="E73" s="18" t="n"/>
      <c r="F73" s="5" t="n"/>
      <c r="G73" s="5" t="n"/>
      <c r="H73" s="5" t="n"/>
      <c r="I73" s="5" t="n"/>
    </row>
    <row r="74">
      <c r="A74" s="18" t="n"/>
      <c r="B74" s="18" t="n"/>
      <c r="C74" s="5" t="n"/>
      <c r="D74" s="30" t="n"/>
      <c r="E74" s="18" t="n"/>
      <c r="F74" s="5" t="n"/>
      <c r="G74" s="5" t="n"/>
      <c r="H74" s="5" t="n"/>
      <c r="I74" s="5" t="n"/>
    </row>
    <row r="75">
      <c r="A75" s="18" t="n"/>
      <c r="B75" s="18" t="n"/>
      <c r="C75" s="5" t="n"/>
      <c r="D75" s="30" t="n"/>
      <c r="E75" s="18" t="n"/>
      <c r="F75" s="5" t="n"/>
      <c r="G75" s="5" t="n"/>
      <c r="H75" s="5" t="n"/>
      <c r="I75" s="5" t="n"/>
    </row>
    <row r="76">
      <c r="A76" s="18" t="n"/>
      <c r="B76" s="18" t="n"/>
      <c r="C76" s="5" t="n"/>
      <c r="D76" s="30" t="n"/>
      <c r="E76" s="18" t="n"/>
      <c r="F76" s="5" t="n"/>
      <c r="G76" s="5" t="n"/>
      <c r="H76" s="5" t="n"/>
      <c r="I76" s="5" t="n"/>
    </row>
    <row r="77">
      <c r="A77" s="18" t="n"/>
      <c r="B77" s="18" t="n"/>
      <c r="C77" s="5" t="n"/>
      <c r="D77" s="30" t="n"/>
      <c r="E77" s="18" t="n"/>
      <c r="F77" s="5" t="n"/>
      <c r="G77" s="5" t="n"/>
      <c r="H77" s="5" t="n"/>
      <c r="I77" s="5" t="n"/>
    </row>
    <row r="78">
      <c r="A78" s="18" t="n"/>
      <c r="B78" s="18" t="n"/>
      <c r="C78" s="5" t="n"/>
      <c r="D78" s="30" t="n"/>
      <c r="E78" s="18" t="n"/>
      <c r="F78" s="5" t="n"/>
      <c r="G78" s="5" t="n"/>
      <c r="H78" s="5" t="n"/>
      <c r="I78" s="5" t="n"/>
    </row>
    <row r="79">
      <c r="A79" s="18" t="n"/>
      <c r="B79" s="18" t="n"/>
      <c r="C79" s="5" t="n"/>
      <c r="D79" s="30" t="n"/>
      <c r="E79" s="18" t="n"/>
      <c r="F79" s="5" t="n"/>
      <c r="G79" s="5" t="n"/>
      <c r="H79" s="5" t="n"/>
      <c r="I79" s="5" t="n"/>
    </row>
    <row r="80">
      <c r="A80" s="18" t="n"/>
      <c r="B80" s="18" t="n"/>
      <c r="C80" s="5" t="n"/>
      <c r="D80" s="30" t="n"/>
      <c r="E80" s="18" t="n"/>
      <c r="F80" s="5" t="n"/>
      <c r="G80" s="5" t="n"/>
      <c r="H80" s="5" t="n"/>
      <c r="I80" s="5" t="n"/>
    </row>
    <row r="81">
      <c r="A81" s="18" t="n"/>
      <c r="B81" s="18" t="n"/>
      <c r="C81" s="5" t="n"/>
      <c r="D81" s="30" t="n"/>
      <c r="E81" s="18" t="n"/>
      <c r="F81" s="5" t="n"/>
      <c r="G81" s="5" t="n"/>
      <c r="H81" s="5" t="n"/>
      <c r="I81" s="5" t="n"/>
    </row>
    <row r="82">
      <c r="A82" s="18" t="n"/>
      <c r="B82" s="18" t="n"/>
      <c r="C82" s="5" t="n"/>
      <c r="D82" s="30" t="n"/>
      <c r="E82" s="18" t="n"/>
      <c r="F82" s="5" t="n"/>
      <c r="G82" s="5" t="n"/>
      <c r="H82" s="5" t="n"/>
      <c r="I82" s="5" t="n"/>
    </row>
    <row r="83">
      <c r="A83" s="18" t="n"/>
      <c r="B83" s="18" t="n"/>
      <c r="C83" s="5" t="n"/>
      <c r="D83" s="30" t="n"/>
      <c r="E83" s="18" t="n"/>
      <c r="F83" s="5" t="n"/>
      <c r="G83" s="5" t="n"/>
      <c r="H83" s="5" t="n"/>
      <c r="I83" s="5" t="n"/>
    </row>
    <row r="84">
      <c r="A84" s="18" t="n"/>
      <c r="B84" s="18" t="n"/>
      <c r="C84" s="5" t="n"/>
      <c r="D84" s="30" t="n"/>
      <c r="E84" s="18" t="n"/>
      <c r="F84" s="5" t="n"/>
      <c r="G84" s="5" t="n"/>
      <c r="H84" s="5" t="n"/>
      <c r="I84" s="5" t="n"/>
    </row>
    <row r="85">
      <c r="A85" s="18" t="n"/>
      <c r="B85" s="18" t="n"/>
      <c r="C85" s="5" t="n"/>
      <c r="D85" s="30" t="n"/>
      <c r="E85" s="18" t="n"/>
      <c r="F85" s="5" t="n"/>
      <c r="G85" s="5" t="n"/>
      <c r="H85" s="5" t="n"/>
      <c r="I85" s="5" t="n"/>
    </row>
    <row r="86">
      <c r="A86" s="18" t="n"/>
      <c r="B86" s="18" t="n"/>
      <c r="C86" s="5" t="n"/>
      <c r="D86" s="30" t="n"/>
      <c r="E86" s="18" t="n"/>
      <c r="F86" s="5" t="n"/>
      <c r="G86" s="5" t="n"/>
      <c r="H86" s="5" t="n"/>
      <c r="I86" s="5" t="n"/>
    </row>
    <row r="87">
      <c r="A87" s="18" t="n"/>
      <c r="B87" s="18" t="n"/>
      <c r="C87" s="5" t="n"/>
      <c r="D87" s="30" t="n"/>
      <c r="E87" s="18" t="n"/>
      <c r="F87" s="5" t="n"/>
      <c r="G87" s="5" t="n"/>
      <c r="H87" s="5" t="n"/>
      <c r="I87" s="5" t="n"/>
    </row>
    <row r="88">
      <c r="A88" s="18" t="n"/>
      <c r="B88" s="18" t="n"/>
      <c r="C88" s="5" t="n"/>
      <c r="D88" s="30" t="n"/>
      <c r="E88" s="18" t="n"/>
      <c r="F88" s="5" t="n"/>
      <c r="G88" s="5" t="n"/>
      <c r="H88" s="5" t="n"/>
      <c r="I88" s="5" t="n"/>
    </row>
    <row r="89">
      <c r="A89" s="18" t="n"/>
      <c r="B89" s="18" t="n"/>
      <c r="C89" s="5" t="n"/>
      <c r="D89" s="30" t="n"/>
      <c r="E89" s="18" t="n"/>
      <c r="F89" s="5" t="n"/>
      <c r="G89" s="5" t="n"/>
      <c r="H89" s="5" t="n"/>
      <c r="I89" s="5" t="n"/>
    </row>
    <row r="90">
      <c r="A90" s="18" t="n"/>
      <c r="B90" s="18" t="n"/>
      <c r="C90" s="5" t="n"/>
      <c r="D90" s="30" t="n"/>
      <c r="E90" s="18" t="n"/>
      <c r="F90" s="5" t="n"/>
      <c r="G90" s="5" t="n"/>
      <c r="H90" s="5" t="n"/>
      <c r="I90" s="5" t="n"/>
    </row>
    <row r="91">
      <c r="A91" s="18" t="n"/>
      <c r="B91" s="18" t="n"/>
      <c r="C91" s="5" t="n"/>
      <c r="D91" s="30" t="n"/>
      <c r="E91" s="18" t="n"/>
      <c r="F91" s="5" t="n"/>
      <c r="G91" s="5" t="n"/>
      <c r="H91" s="5" t="n"/>
      <c r="I91" s="5" t="n"/>
    </row>
    <row r="92">
      <c r="A92" s="18" t="n"/>
      <c r="B92" s="18" t="n"/>
      <c r="C92" s="5" t="n"/>
      <c r="D92" s="30" t="n"/>
      <c r="E92" s="18" t="n"/>
      <c r="F92" s="5" t="n"/>
      <c r="G92" s="5" t="n"/>
      <c r="H92" s="5" t="n"/>
      <c r="I92" s="5" t="n"/>
    </row>
    <row r="93">
      <c r="A93" s="18" t="n"/>
      <c r="B93" s="18" t="n"/>
      <c r="C93" s="5" t="n"/>
      <c r="D93" s="30" t="n"/>
      <c r="E93" s="18" t="n"/>
      <c r="F93" s="5" t="n"/>
      <c r="G93" s="5" t="n"/>
      <c r="H93" s="5" t="n"/>
      <c r="I93" s="5" t="n"/>
    </row>
    <row r="94">
      <c r="A94" s="18" t="n"/>
      <c r="B94" s="18" t="n"/>
      <c r="C94" s="5" t="n"/>
      <c r="D94" s="30" t="n"/>
      <c r="E94" s="18" t="n"/>
      <c r="F94" s="5" t="n"/>
      <c r="G94" s="5" t="n"/>
      <c r="H94" s="5" t="n"/>
      <c r="I94" s="5" t="n"/>
    </row>
    <row r="95">
      <c r="A95" s="18" t="n"/>
      <c r="B95" s="18" t="n"/>
      <c r="C95" s="5" t="n"/>
      <c r="D95" s="30" t="n"/>
      <c r="E95" s="18" t="n"/>
      <c r="F95" s="5" t="n"/>
      <c r="G95" s="5" t="n"/>
      <c r="H95" s="5" t="n"/>
      <c r="I95" s="5" t="n"/>
    </row>
    <row r="96">
      <c r="A96" s="18" t="n"/>
      <c r="B96" s="18" t="n"/>
      <c r="C96" s="5" t="n"/>
      <c r="D96" s="30" t="n"/>
      <c r="E96" s="18" t="n"/>
      <c r="F96" s="5" t="n"/>
      <c r="G96" s="5" t="n"/>
      <c r="H96" s="5" t="n"/>
      <c r="I96" s="5" t="n"/>
    </row>
    <row r="97">
      <c r="A97" s="18" t="n"/>
      <c r="B97" s="18" t="n"/>
      <c r="C97" s="5" t="n"/>
      <c r="D97" s="30" t="n"/>
      <c r="E97" s="18" t="n"/>
      <c r="F97" s="5" t="n"/>
      <c r="G97" s="5" t="n"/>
      <c r="H97" s="5" t="n"/>
      <c r="I97" s="5" t="n"/>
    </row>
    <row r="98">
      <c r="A98" s="18" t="n"/>
      <c r="B98" s="18" t="n"/>
      <c r="C98" s="5" t="n"/>
      <c r="D98" s="30" t="n"/>
      <c r="E98" s="18" t="n"/>
      <c r="F98" s="5" t="n"/>
      <c r="G98" s="5" t="n"/>
      <c r="H98" s="5" t="n"/>
      <c r="I98" s="5" t="n"/>
    </row>
    <row r="99">
      <c r="A99" s="18" t="n"/>
      <c r="B99" s="18" t="n"/>
      <c r="C99" s="5" t="n"/>
      <c r="D99" s="30" t="n"/>
      <c r="E99" s="18" t="n"/>
      <c r="F99" s="5" t="n"/>
      <c r="G99" s="5" t="n"/>
      <c r="H99" s="5" t="n"/>
      <c r="I99" s="5" t="n"/>
    </row>
    <row r="100">
      <c r="A100" s="18" t="n"/>
      <c r="B100" s="18" t="n"/>
      <c r="C100" s="5" t="n"/>
      <c r="D100" s="30" t="n"/>
      <c r="E100" s="18" t="n"/>
      <c r="F100" s="5" t="n"/>
      <c r="G100" s="5" t="n"/>
      <c r="H100" s="5" t="n"/>
      <c r="I100" s="5" t="n"/>
    </row>
    <row r="101">
      <c r="A101" s="18" t="n"/>
      <c r="B101" s="18" t="n"/>
      <c r="C101" s="5" t="n"/>
      <c r="D101" s="30" t="n"/>
      <c r="E101" s="18" t="n"/>
      <c r="F101" s="5" t="n"/>
      <c r="G101" s="5" t="n"/>
      <c r="H101" s="5" t="n"/>
      <c r="I101" s="5" t="n"/>
    </row>
    <row r="102">
      <c r="A102" s="18" t="n"/>
      <c r="B102" s="18" t="n"/>
      <c r="C102" s="5" t="n"/>
      <c r="D102" s="30" t="n"/>
      <c r="E102" s="18" t="n"/>
      <c r="F102" s="5" t="n"/>
      <c r="G102" s="5" t="n"/>
      <c r="H102" s="5" t="n"/>
      <c r="I102" s="5" t="n"/>
    </row>
    <row r="103">
      <c r="A103" s="18" t="n"/>
      <c r="B103" s="18" t="n"/>
      <c r="C103" s="5" t="n"/>
      <c r="D103" s="30" t="n"/>
      <c r="E103" s="18" t="n"/>
      <c r="F103" s="5" t="n"/>
      <c r="G103" s="5" t="n"/>
      <c r="H103" s="5" t="n"/>
      <c r="I103" s="5" t="n"/>
    </row>
    <row r="104">
      <c r="A104" s="18" t="n"/>
      <c r="B104" s="18" t="n"/>
      <c r="C104" s="5" t="n"/>
      <c r="D104" s="30" t="n"/>
      <c r="E104" s="18" t="n"/>
      <c r="F104" s="5" t="n"/>
      <c r="G104" s="5" t="n"/>
      <c r="H104" s="5" t="n"/>
      <c r="I104" s="5" t="n"/>
    </row>
    <row r="105">
      <c r="A105" s="18" t="n"/>
      <c r="B105" s="18" t="n"/>
      <c r="C105" s="5" t="n"/>
      <c r="D105" s="30" t="n"/>
      <c r="E105" s="18" t="n"/>
      <c r="F105" s="5" t="n"/>
      <c r="G105" s="5" t="n"/>
      <c r="H105" s="5" t="n"/>
      <c r="I105" s="5" t="n"/>
    </row>
    <row r="106">
      <c r="A106" s="18" t="n"/>
      <c r="B106" s="18" t="n"/>
      <c r="C106" s="5" t="n"/>
      <c r="D106" s="30" t="n"/>
      <c r="E106" s="18" t="n"/>
      <c r="F106" s="5" t="n"/>
      <c r="G106" s="5" t="n"/>
      <c r="H106" s="5" t="n"/>
      <c r="I106" s="5" t="n"/>
    </row>
    <row r="107">
      <c r="A107" s="18" t="n"/>
      <c r="B107" s="18" t="n"/>
      <c r="C107" s="5" t="n"/>
      <c r="D107" s="30" t="n"/>
      <c r="E107" s="18" t="n"/>
      <c r="F107" s="5" t="n"/>
      <c r="G107" s="5" t="n"/>
      <c r="H107" s="5" t="n"/>
      <c r="I107" s="5" t="n"/>
    </row>
    <row r="108">
      <c r="A108" s="18" t="n"/>
      <c r="B108" s="18" t="n"/>
      <c r="C108" s="5" t="n"/>
      <c r="D108" s="30" t="n"/>
      <c r="E108" s="18" t="n"/>
      <c r="F108" s="5" t="n"/>
      <c r="G108" s="5" t="n"/>
      <c r="H108" s="5" t="n"/>
      <c r="I108" s="5" t="n"/>
    </row>
    <row r="109">
      <c r="A109" s="18" t="n"/>
      <c r="B109" s="18" t="n"/>
      <c r="C109" s="5" t="n"/>
      <c r="D109" s="30" t="n"/>
      <c r="E109" s="18" t="n"/>
      <c r="F109" s="5" t="n"/>
      <c r="G109" s="5" t="n"/>
      <c r="H109" s="5" t="n"/>
      <c r="I109" s="5" t="n"/>
    </row>
    <row r="110">
      <c r="A110" s="18" t="n"/>
      <c r="B110" s="18" t="n"/>
      <c r="C110" s="5" t="n"/>
      <c r="D110" s="30" t="n"/>
      <c r="E110" s="18" t="n"/>
      <c r="F110" s="5" t="n"/>
      <c r="G110" s="5" t="n"/>
      <c r="H110" s="5" t="n"/>
      <c r="I110" s="5" t="n"/>
    </row>
    <row r="111">
      <c r="A111" s="18" t="n"/>
      <c r="B111" s="18" t="n"/>
      <c r="C111" s="5" t="n"/>
      <c r="D111" s="30" t="n"/>
      <c r="E111" s="18" t="n"/>
      <c r="F111" s="5" t="n"/>
      <c r="G111" s="5" t="n"/>
      <c r="H111" s="5" t="n"/>
      <c r="I111" s="5" t="n"/>
    </row>
    <row r="112">
      <c r="A112" s="18" t="n"/>
      <c r="B112" s="18" t="n"/>
      <c r="C112" s="5" t="n"/>
      <c r="D112" s="30" t="n"/>
      <c r="E112" s="18" t="n"/>
      <c r="F112" s="5" t="n"/>
      <c r="G112" s="5" t="n"/>
      <c r="H112" s="5" t="n"/>
      <c r="I112" s="5" t="n"/>
    </row>
    <row r="113">
      <c r="A113" s="18" t="n"/>
      <c r="B113" s="18" t="n"/>
      <c r="C113" s="5" t="n"/>
      <c r="D113" s="30" t="n"/>
      <c r="E113" s="18" t="n"/>
      <c r="F113" s="5" t="n"/>
      <c r="G113" s="5" t="n"/>
      <c r="H113" s="5" t="n"/>
      <c r="I113" s="5" t="n"/>
    </row>
    <row r="114">
      <c r="A114" s="18" t="n"/>
      <c r="B114" s="18" t="n"/>
      <c r="C114" s="5" t="n"/>
      <c r="D114" s="30" t="n"/>
      <c r="E114" s="18" t="n"/>
      <c r="F114" s="5" t="n"/>
      <c r="G114" s="5" t="n"/>
      <c r="H114" s="5" t="n"/>
      <c r="I114" s="5" t="n"/>
    </row>
    <row r="115">
      <c r="A115" s="18" t="n"/>
      <c r="B115" s="18" t="n"/>
      <c r="C115" s="5" t="n"/>
      <c r="D115" s="30" t="n"/>
      <c r="E115" s="18" t="n"/>
      <c r="F115" s="5" t="n"/>
      <c r="G115" s="5" t="n"/>
      <c r="H115" s="5" t="n"/>
      <c r="I115" s="5" t="n"/>
    </row>
    <row r="116">
      <c r="A116" s="18" t="n"/>
      <c r="B116" s="18" t="n"/>
      <c r="C116" s="5" t="n"/>
      <c r="D116" s="30" t="n"/>
      <c r="E116" s="18" t="n"/>
      <c r="F116" s="5" t="n"/>
      <c r="G116" s="5" t="n"/>
      <c r="H116" s="5" t="n"/>
      <c r="I116" s="5" t="n"/>
    </row>
    <row r="117">
      <c r="A117" s="18" t="n"/>
      <c r="B117" s="18" t="n"/>
      <c r="C117" s="5" t="n"/>
      <c r="D117" s="30" t="n"/>
      <c r="E117" s="18" t="n"/>
      <c r="F117" s="5" t="n"/>
      <c r="G117" s="5" t="n"/>
      <c r="H117" s="5" t="n"/>
      <c r="I117" s="5" t="n"/>
    </row>
    <row r="118">
      <c r="A118" s="18" t="n"/>
      <c r="B118" s="18" t="n"/>
      <c r="C118" s="5" t="n"/>
      <c r="D118" s="30" t="n"/>
      <c r="E118" s="18" t="n"/>
      <c r="F118" s="5" t="n"/>
      <c r="G118" s="5" t="n"/>
      <c r="H118" s="5" t="n"/>
      <c r="I118" s="5" t="n"/>
    </row>
    <row r="119">
      <c r="A119" s="18" t="n"/>
      <c r="B119" s="18" t="n"/>
      <c r="C119" s="5" t="n"/>
      <c r="D119" s="30" t="n"/>
      <c r="E119" s="18" t="n"/>
      <c r="F119" s="5" t="n"/>
      <c r="G119" s="5" t="n"/>
      <c r="H119" s="5" t="n"/>
      <c r="I119" s="5" t="n"/>
    </row>
    <row r="120">
      <c r="A120" s="18" t="n"/>
      <c r="B120" s="18" t="n"/>
      <c r="C120" s="5" t="n"/>
      <c r="D120" s="30" t="n"/>
      <c r="E120" s="18" t="n"/>
      <c r="F120" s="5" t="n"/>
      <c r="G120" s="5" t="n"/>
      <c r="H120" s="5" t="n"/>
      <c r="I120" s="5" t="n"/>
    </row>
    <row r="121">
      <c r="A121" s="18" t="n"/>
      <c r="B121" s="18" t="n"/>
      <c r="C121" s="5" t="n"/>
      <c r="D121" s="30" t="n"/>
      <c r="E121" s="18" t="n"/>
      <c r="F121" s="5" t="n"/>
      <c r="G121" s="5" t="n"/>
      <c r="H121" s="5" t="n"/>
      <c r="I121" s="5" t="n"/>
    </row>
    <row r="122">
      <c r="A122" s="18" t="n"/>
      <c r="B122" s="18" t="n"/>
      <c r="C122" s="5" t="n"/>
      <c r="D122" s="30" t="n"/>
      <c r="E122" s="18" t="n"/>
      <c r="F122" s="5" t="n"/>
      <c r="G122" s="5" t="n"/>
      <c r="H122" s="5" t="n"/>
      <c r="I122" s="5" t="n"/>
    </row>
    <row r="123">
      <c r="A123" s="18" t="n"/>
      <c r="B123" s="18" t="n"/>
      <c r="C123" s="5" t="n"/>
      <c r="D123" s="30" t="n"/>
      <c r="E123" s="18" t="n"/>
      <c r="F123" s="5" t="n"/>
      <c r="G123" s="5" t="n"/>
      <c r="H123" s="5" t="n"/>
      <c r="I123" s="5" t="n"/>
    </row>
    <row r="124">
      <c r="A124" s="18" t="n"/>
      <c r="B124" s="18" t="n"/>
      <c r="C124" s="5" t="n"/>
      <c r="D124" s="30" t="n"/>
      <c r="E124" s="18" t="n"/>
      <c r="F124" s="5" t="n"/>
      <c r="G124" s="5" t="n"/>
      <c r="H124" s="5" t="n"/>
      <c r="I124" s="5" t="n"/>
    </row>
    <row r="125">
      <c r="A125" s="18" t="n"/>
      <c r="B125" s="18" t="n"/>
      <c r="C125" s="5" t="n"/>
      <c r="D125" s="30" t="n"/>
      <c r="E125" s="18" t="n"/>
      <c r="F125" s="5" t="n"/>
      <c r="G125" s="5" t="n"/>
      <c r="H125" s="5" t="n"/>
      <c r="I125" s="5" t="n"/>
    </row>
    <row r="126">
      <c r="A126" s="18" t="n"/>
      <c r="B126" s="18" t="n"/>
      <c r="C126" s="5" t="n"/>
      <c r="D126" s="30" t="n"/>
      <c r="E126" s="18" t="n"/>
      <c r="F126" s="5" t="n"/>
      <c r="G126" s="5" t="n"/>
      <c r="H126" s="5" t="n"/>
      <c r="I126" s="5" t="n"/>
    </row>
    <row r="127">
      <c r="A127" s="18" t="n"/>
      <c r="B127" s="18" t="n"/>
      <c r="C127" s="5" t="n"/>
      <c r="D127" s="30" t="n"/>
      <c r="E127" s="18" t="n"/>
      <c r="F127" s="5" t="n"/>
      <c r="G127" s="5" t="n"/>
      <c r="H127" s="5" t="n"/>
      <c r="I127" s="5" t="n"/>
    </row>
    <row r="128">
      <c r="A128" s="18" t="n"/>
      <c r="B128" s="18" t="n"/>
      <c r="C128" s="5" t="n"/>
      <c r="D128" s="30" t="n"/>
      <c r="E128" s="18" t="n"/>
      <c r="F128" s="5" t="n"/>
      <c r="G128" s="5" t="n"/>
      <c r="H128" s="5" t="n"/>
      <c r="I128" s="5" t="n"/>
    </row>
    <row r="129">
      <c r="A129" s="18" t="n"/>
      <c r="B129" s="18" t="n"/>
      <c r="C129" s="5" t="n"/>
      <c r="D129" s="30" t="n"/>
      <c r="E129" s="18" t="n"/>
      <c r="F129" s="5" t="n"/>
      <c r="G129" s="5" t="n"/>
      <c r="H129" s="5" t="n"/>
      <c r="I129" s="5" t="n"/>
    </row>
    <row r="130">
      <c r="A130" s="18" t="n"/>
      <c r="B130" s="18" t="n"/>
      <c r="C130" s="5" t="n"/>
      <c r="D130" s="30" t="n"/>
      <c r="E130" s="18" t="n"/>
      <c r="F130" s="5" t="n"/>
      <c r="G130" s="5" t="n"/>
      <c r="H130" s="5" t="n"/>
      <c r="I130" s="5" t="n"/>
    </row>
    <row r="131">
      <c r="A131" s="18" t="n"/>
      <c r="B131" s="18" t="n"/>
      <c r="C131" s="5" t="n"/>
      <c r="D131" s="30" t="n"/>
      <c r="E131" s="18" t="n"/>
      <c r="F131" s="5" t="n"/>
      <c r="G131" s="5" t="n"/>
      <c r="H131" s="5" t="n"/>
      <c r="I131" s="5" t="n"/>
    </row>
    <row r="132">
      <c r="A132" s="18" t="n"/>
      <c r="B132" s="18" t="n"/>
      <c r="C132" s="5" t="n"/>
      <c r="D132" s="30" t="n"/>
      <c r="E132" s="18" t="n"/>
      <c r="F132" s="5" t="n"/>
      <c r="G132" s="5" t="n"/>
      <c r="H132" s="5" t="n"/>
      <c r="I132" s="5" t="n"/>
    </row>
    <row r="133">
      <c r="A133" s="18" t="n"/>
      <c r="B133" s="18" t="n"/>
      <c r="C133" s="5" t="n"/>
      <c r="D133" s="30" t="n"/>
      <c r="E133" s="18" t="n"/>
      <c r="F133" s="5" t="n"/>
      <c r="G133" s="5" t="n"/>
      <c r="H133" s="5" t="n"/>
      <c r="I133" s="5" t="n"/>
    </row>
    <row r="134">
      <c r="A134" s="18" t="n"/>
      <c r="B134" s="18" t="n"/>
      <c r="C134" s="5" t="n"/>
      <c r="D134" s="30" t="n"/>
      <c r="E134" s="18" t="n"/>
      <c r="F134" s="5" t="n"/>
      <c r="G134" s="5" t="n"/>
      <c r="H134" s="5" t="n"/>
      <c r="I134" s="5" t="n"/>
    </row>
    <row r="135">
      <c r="A135" s="18" t="n"/>
      <c r="B135" s="18" t="n"/>
      <c r="C135" s="5" t="n"/>
      <c r="D135" s="30" t="n"/>
      <c r="E135" s="18" t="n"/>
      <c r="F135" s="5" t="n"/>
      <c r="G135" s="5" t="n"/>
      <c r="H135" s="5" t="n"/>
      <c r="I135" s="5" t="n"/>
    </row>
    <row r="136">
      <c r="A136" s="18" t="n"/>
      <c r="B136" s="18" t="n"/>
      <c r="C136" s="5" t="n"/>
      <c r="D136" s="30" t="n"/>
      <c r="E136" s="18" t="n"/>
      <c r="F136" s="5" t="n"/>
      <c r="G136" s="5" t="n"/>
      <c r="H136" s="5" t="n"/>
      <c r="I136" s="5" t="n"/>
    </row>
    <row r="137">
      <c r="A137" s="18" t="n"/>
      <c r="B137" s="18" t="n"/>
      <c r="C137" s="5" t="n"/>
      <c r="D137" s="30" t="n"/>
      <c r="E137" s="18" t="n"/>
      <c r="F137" s="5" t="n"/>
      <c r="G137" s="5" t="n"/>
      <c r="H137" s="5" t="n"/>
      <c r="I137" s="5" t="n"/>
    </row>
    <row r="138">
      <c r="A138" s="18" t="n"/>
      <c r="B138" s="18" t="n"/>
      <c r="C138" s="5" t="n"/>
      <c r="D138" s="30" t="n"/>
      <c r="E138" s="18" t="n"/>
      <c r="F138" s="5" t="n"/>
      <c r="G138" s="5" t="n"/>
      <c r="H138" s="5" t="n"/>
      <c r="I138" s="5" t="n"/>
    </row>
    <row r="139">
      <c r="A139" s="18" t="n"/>
      <c r="B139" s="18" t="n"/>
      <c r="C139" s="5" t="n"/>
      <c r="D139" s="30" t="n"/>
      <c r="E139" s="18" t="n"/>
      <c r="F139" s="5" t="n"/>
      <c r="G139" s="5" t="n"/>
      <c r="H139" s="5" t="n"/>
      <c r="I139" s="5" t="n"/>
    </row>
    <row r="140">
      <c r="A140" s="18" t="n"/>
      <c r="B140" s="18" t="n"/>
      <c r="C140" s="5" t="n"/>
      <c r="D140" s="30" t="n"/>
      <c r="E140" s="18" t="n"/>
      <c r="F140" s="5" t="n"/>
      <c r="G140" s="5" t="n"/>
      <c r="H140" s="5" t="n"/>
      <c r="I140" s="5" t="n"/>
    </row>
    <row r="141">
      <c r="A141" s="18" t="n"/>
      <c r="B141" s="18" t="n"/>
      <c r="C141" s="5" t="n"/>
      <c r="D141" s="30" t="n"/>
      <c r="E141" s="18" t="n"/>
      <c r="F141" s="5" t="n"/>
      <c r="G141" s="5" t="n"/>
      <c r="H141" s="5" t="n"/>
      <c r="I141" s="5" t="n"/>
    </row>
    <row r="142">
      <c r="A142" s="18" t="n"/>
      <c r="B142" s="18" t="n"/>
      <c r="C142" s="5" t="n"/>
      <c r="D142" s="30" t="n"/>
      <c r="E142" s="18" t="n"/>
      <c r="F142" s="5" t="n"/>
      <c r="G142" s="5" t="n"/>
      <c r="H142" s="5" t="n"/>
      <c r="I142" s="5" t="n"/>
    </row>
    <row r="143">
      <c r="A143" s="18" t="n"/>
      <c r="B143" s="18" t="n"/>
      <c r="C143" s="5" t="n"/>
      <c r="D143" s="30" t="n"/>
      <c r="E143" s="18" t="n"/>
      <c r="F143" s="5" t="n"/>
      <c r="G143" s="5" t="n"/>
      <c r="H143" s="5" t="n"/>
      <c r="I143" s="5" t="n"/>
    </row>
    <row r="144">
      <c r="A144" s="18" t="n"/>
      <c r="B144" s="18" t="n"/>
      <c r="C144" s="5" t="n"/>
      <c r="D144" s="30" t="n"/>
      <c r="E144" s="18" t="n"/>
      <c r="F144" s="5" t="n"/>
      <c r="G144" s="5" t="n"/>
      <c r="H144" s="5" t="n"/>
      <c r="I144" s="5" t="n"/>
    </row>
    <row r="145">
      <c r="A145" s="18" t="n"/>
      <c r="B145" s="18" t="n"/>
      <c r="C145" s="5" t="n"/>
      <c r="D145" s="30" t="n"/>
      <c r="E145" s="18" t="n"/>
      <c r="F145" s="5" t="n"/>
      <c r="G145" s="5" t="n"/>
      <c r="H145" s="5" t="n"/>
      <c r="I145" s="5" t="n"/>
    </row>
    <row r="146">
      <c r="A146" s="18" t="n"/>
      <c r="B146" s="18" t="n"/>
      <c r="C146" s="5" t="n"/>
      <c r="D146" s="30" t="n"/>
      <c r="E146" s="18" t="n"/>
      <c r="F146" s="5" t="n"/>
      <c r="G146" s="5" t="n"/>
      <c r="H146" s="5" t="n"/>
      <c r="I146" s="5" t="n"/>
    </row>
    <row r="147">
      <c r="A147" s="18" t="n"/>
      <c r="B147" s="18" t="n"/>
      <c r="C147" s="5" t="n"/>
      <c r="D147" s="30" t="n"/>
      <c r="E147" s="18" t="n"/>
      <c r="F147" s="5" t="n"/>
      <c r="G147" s="5" t="n"/>
      <c r="H147" s="5" t="n"/>
      <c r="I147" s="5" t="n"/>
    </row>
    <row r="148">
      <c r="A148" s="18" t="n"/>
      <c r="B148" s="18" t="n"/>
      <c r="C148" s="5" t="n"/>
      <c r="D148" s="30" t="n"/>
      <c r="E148" s="18" t="n"/>
      <c r="F148" s="5" t="n"/>
      <c r="G148" s="5" t="n"/>
      <c r="H148" s="5" t="n"/>
      <c r="I148" s="5" t="n"/>
    </row>
    <row r="149">
      <c r="A149" s="18" t="n"/>
      <c r="B149" s="18" t="n"/>
      <c r="C149" s="5" t="n"/>
      <c r="D149" s="30" t="n"/>
      <c r="E149" s="18" t="n"/>
      <c r="F149" s="5" t="n"/>
      <c r="G149" s="5" t="n"/>
      <c r="H149" s="5" t="n"/>
      <c r="I149" s="5" t="n"/>
    </row>
    <row r="150">
      <c r="A150" s="18" t="n"/>
      <c r="B150" s="18" t="n"/>
      <c r="C150" s="5" t="n"/>
      <c r="D150" s="30" t="n"/>
      <c r="E150" s="18" t="n"/>
      <c r="F150" s="5" t="n"/>
      <c r="G150" s="5" t="n"/>
      <c r="H150" s="5" t="n"/>
      <c r="I150" s="5" t="n"/>
    </row>
    <row r="151">
      <c r="A151" s="18" t="n"/>
      <c r="B151" s="18" t="n"/>
      <c r="C151" s="5" t="n"/>
      <c r="D151" s="30" t="n"/>
      <c r="E151" s="18" t="n"/>
      <c r="F151" s="5" t="n"/>
      <c r="G151" s="5" t="n"/>
      <c r="H151" s="5" t="n"/>
      <c r="I151" s="5" t="n"/>
    </row>
    <row r="152">
      <c r="A152" s="18" t="n"/>
      <c r="B152" s="18" t="n"/>
      <c r="C152" s="5" t="n"/>
      <c r="D152" s="30" t="n"/>
      <c r="E152" s="18" t="n"/>
      <c r="F152" s="5" t="n"/>
      <c r="G152" s="5" t="n"/>
      <c r="H152" s="5" t="n"/>
      <c r="I152" s="5" t="n"/>
    </row>
    <row r="153">
      <c r="A153" s="18" t="n"/>
      <c r="B153" s="18" t="n"/>
      <c r="C153" s="5" t="n"/>
      <c r="D153" s="30" t="n"/>
      <c r="E153" s="18" t="n"/>
      <c r="F153" s="5" t="n"/>
      <c r="G153" s="5" t="n"/>
      <c r="H153" s="5" t="n"/>
      <c r="I153" s="5" t="n"/>
    </row>
    <row r="154">
      <c r="A154" s="18" t="n"/>
      <c r="B154" s="18" t="n"/>
      <c r="C154" s="5" t="n"/>
      <c r="D154" s="30" t="n"/>
      <c r="E154" s="18" t="n"/>
      <c r="F154" s="5" t="n"/>
      <c r="G154" s="5" t="n"/>
      <c r="H154" s="5" t="n"/>
      <c r="I154" s="5" t="n"/>
    </row>
    <row r="155">
      <c r="A155" s="18" t="n"/>
      <c r="B155" s="18" t="n"/>
      <c r="C155" s="5" t="n"/>
      <c r="D155" s="30" t="n"/>
      <c r="E155" s="18" t="n"/>
      <c r="F155" s="5" t="n"/>
      <c r="G155" s="5" t="n"/>
      <c r="H155" s="5" t="n"/>
      <c r="I155" s="5" t="n"/>
    </row>
    <row r="156">
      <c r="A156" s="18" t="n"/>
      <c r="B156" s="18" t="n"/>
      <c r="C156" s="5" t="n"/>
      <c r="D156" s="30" t="n"/>
      <c r="E156" s="18" t="n"/>
      <c r="F156" s="5" t="n"/>
      <c r="G156" s="5" t="n"/>
      <c r="H156" s="5" t="n"/>
      <c r="I156" s="5" t="n"/>
    </row>
    <row r="157">
      <c r="A157" s="18" t="n"/>
      <c r="B157" s="18" t="n"/>
      <c r="C157" s="5" t="n"/>
      <c r="D157" s="30" t="n"/>
      <c r="E157" s="18" t="n"/>
      <c r="F157" s="5" t="n"/>
      <c r="G157" s="5" t="n"/>
      <c r="H157" s="5" t="n"/>
      <c r="I157" s="5" t="n"/>
    </row>
    <row r="158">
      <c r="A158" s="18" t="n"/>
      <c r="B158" s="18" t="n"/>
      <c r="C158" s="5" t="n"/>
      <c r="D158" s="30" t="n"/>
      <c r="E158" s="18" t="n"/>
      <c r="F158" s="5" t="n"/>
      <c r="G158" s="5" t="n"/>
      <c r="H158" s="5" t="n"/>
      <c r="I158" s="5" t="n"/>
    </row>
    <row r="159">
      <c r="A159" s="18" t="n"/>
      <c r="B159" s="18" t="n"/>
      <c r="C159" s="5" t="n"/>
      <c r="D159" s="30" t="n"/>
      <c r="E159" s="18" t="n"/>
      <c r="F159" s="5" t="n"/>
      <c r="G159" s="5" t="n"/>
      <c r="H159" s="5" t="n"/>
      <c r="I159" s="5" t="n"/>
    </row>
    <row r="160">
      <c r="A160" s="18" t="n"/>
      <c r="B160" s="18" t="n"/>
      <c r="C160" s="5" t="n"/>
      <c r="D160" s="30" t="n"/>
      <c r="E160" s="18" t="n"/>
      <c r="F160" s="5" t="n"/>
      <c r="G160" s="5" t="n"/>
      <c r="H160" s="5" t="n"/>
      <c r="I160" s="5" t="n"/>
    </row>
    <row r="161">
      <c r="A161" s="18" t="n"/>
      <c r="B161" s="18" t="n"/>
      <c r="C161" s="5" t="n"/>
      <c r="D161" s="30" t="n"/>
      <c r="E161" s="18" t="n"/>
      <c r="F161" s="5" t="n"/>
      <c r="G161" s="5" t="n"/>
      <c r="H161" s="5" t="n"/>
      <c r="I161" s="5" t="n"/>
    </row>
    <row r="162">
      <c r="A162" s="18" t="n"/>
      <c r="B162" s="18" t="n"/>
      <c r="C162" s="5" t="n"/>
      <c r="D162" s="30" t="n"/>
      <c r="E162" s="18" t="n"/>
      <c r="F162" s="5" t="n"/>
      <c r="G162" s="5" t="n"/>
      <c r="H162" s="5" t="n"/>
      <c r="I162" s="5" t="n"/>
    </row>
    <row r="163">
      <c r="A163" s="18" t="n"/>
      <c r="B163" s="18" t="n"/>
      <c r="C163" s="5" t="n"/>
      <c r="D163" s="30" t="n"/>
      <c r="E163" s="18" t="n"/>
      <c r="F163" s="5" t="n"/>
      <c r="G163" s="5" t="n"/>
      <c r="H163" s="5" t="n"/>
      <c r="I163" s="5" t="n"/>
    </row>
    <row r="164">
      <c r="A164" s="18" t="n"/>
      <c r="B164" s="18" t="n"/>
      <c r="C164" s="5" t="n"/>
      <c r="D164" s="30" t="n"/>
      <c r="E164" s="18" t="n"/>
      <c r="F164" s="5" t="n"/>
      <c r="G164" s="5" t="n"/>
      <c r="H164" s="5" t="n"/>
      <c r="I164" s="5" t="n"/>
    </row>
    <row r="165">
      <c r="A165" s="18" t="n"/>
      <c r="B165" s="18" t="n"/>
      <c r="C165" s="5" t="n"/>
      <c r="D165" s="30" t="n"/>
      <c r="E165" s="18" t="n"/>
      <c r="F165" s="5" t="n"/>
      <c r="G165" s="5" t="n"/>
      <c r="H165" s="5" t="n"/>
      <c r="I165" s="5" t="n"/>
    </row>
    <row r="166">
      <c r="A166" s="18" t="n"/>
      <c r="B166" s="18" t="n"/>
      <c r="C166" s="5" t="n"/>
      <c r="D166" s="30" t="n"/>
      <c r="E166" s="18" t="n"/>
      <c r="F166" s="5" t="n"/>
      <c r="G166" s="5" t="n"/>
      <c r="H166" s="5" t="n"/>
      <c r="I166" s="5" t="n"/>
    </row>
    <row r="167">
      <c r="A167" s="18" t="n"/>
      <c r="B167" s="18" t="n"/>
      <c r="C167" s="5" t="n"/>
      <c r="D167" s="30" t="n"/>
      <c r="E167" s="18" t="n"/>
      <c r="F167" s="5" t="n"/>
      <c r="G167" s="5" t="n"/>
      <c r="H167" s="5" t="n"/>
      <c r="I167" s="5" t="n"/>
    </row>
    <row r="168">
      <c r="A168" s="18" t="n"/>
      <c r="B168" s="18" t="n"/>
      <c r="C168" s="5" t="n"/>
      <c r="D168" s="30" t="n"/>
      <c r="E168" s="18" t="n"/>
      <c r="F168" s="5" t="n"/>
      <c r="G168" s="5" t="n"/>
      <c r="H168" s="5" t="n"/>
      <c r="I168" s="5" t="n"/>
    </row>
    <row r="169">
      <c r="A169" s="18" t="n"/>
      <c r="B169" s="18" t="n"/>
      <c r="C169" s="5" t="n"/>
      <c r="D169" s="30" t="n"/>
      <c r="E169" s="18" t="n"/>
      <c r="F169" s="5" t="n"/>
      <c r="G169" s="5" t="n"/>
      <c r="H169" s="5" t="n"/>
      <c r="I169" s="5" t="n"/>
    </row>
    <row r="170">
      <c r="A170" s="18" t="n"/>
      <c r="B170" s="18" t="n"/>
      <c r="C170" s="5" t="n"/>
      <c r="D170" s="30" t="n"/>
      <c r="E170" s="18" t="n"/>
      <c r="F170" s="5" t="n"/>
      <c r="G170" s="5" t="n"/>
      <c r="H170" s="5" t="n"/>
      <c r="I170" s="5" t="n"/>
    </row>
    <row r="171">
      <c r="A171" s="18" t="n"/>
      <c r="B171" s="18" t="n"/>
      <c r="C171" s="5" t="n"/>
      <c r="D171" s="30" t="n"/>
      <c r="E171" s="18" t="n"/>
      <c r="F171" s="5" t="n"/>
      <c r="G171" s="5" t="n"/>
      <c r="H171" s="5" t="n"/>
      <c r="I171" s="5" t="n"/>
    </row>
    <row r="172">
      <c r="A172" s="18" t="n"/>
      <c r="B172" s="18" t="n"/>
      <c r="C172" s="5" t="n"/>
      <c r="D172" s="30" t="n"/>
      <c r="E172" s="18" t="n"/>
      <c r="F172" s="5" t="n"/>
      <c r="G172" s="5" t="n"/>
      <c r="H172" s="5" t="n"/>
      <c r="I172" s="5" t="n"/>
    </row>
    <row r="173">
      <c r="A173" s="18" t="n"/>
      <c r="B173" s="18" t="n"/>
      <c r="C173" s="5" t="n"/>
      <c r="D173" s="30" t="n"/>
      <c r="E173" s="18" t="n"/>
      <c r="F173" s="5" t="n"/>
      <c r="G173" s="5" t="n"/>
      <c r="H173" s="5" t="n"/>
      <c r="I173" s="5" t="n"/>
    </row>
    <row r="174">
      <c r="A174" s="18" t="n"/>
      <c r="B174" s="18" t="n"/>
      <c r="C174" s="5" t="n"/>
      <c r="D174" s="30" t="n"/>
      <c r="E174" s="18" t="n"/>
      <c r="F174" s="5" t="n"/>
      <c r="G174" s="5" t="n"/>
      <c r="H174" s="5" t="n"/>
      <c r="I174" s="5" t="n"/>
    </row>
    <row r="175">
      <c r="A175" s="18" t="n"/>
      <c r="B175" s="18" t="n"/>
      <c r="C175" s="5" t="n"/>
      <c r="D175" s="30" t="n"/>
      <c r="E175" s="18" t="n"/>
      <c r="F175" s="5" t="n"/>
      <c r="G175" s="5" t="n"/>
      <c r="H175" s="5" t="n"/>
      <c r="I175" s="5" t="n"/>
    </row>
    <row r="176">
      <c r="A176" s="18" t="n"/>
      <c r="B176" s="18" t="n"/>
      <c r="C176" s="5" t="n"/>
      <c r="D176" s="30" t="n"/>
      <c r="E176" s="18" t="n"/>
      <c r="F176" s="5" t="n"/>
      <c r="G176" s="5" t="n"/>
      <c r="H176" s="5" t="n"/>
      <c r="I176" s="5" t="n"/>
    </row>
    <row r="177">
      <c r="A177" s="18" t="n"/>
      <c r="B177" s="18" t="n"/>
      <c r="C177" s="5" t="n"/>
      <c r="D177" s="30" t="n"/>
      <c r="E177" s="18" t="n"/>
      <c r="F177" s="5" t="n"/>
      <c r="G177" s="5" t="n"/>
      <c r="H177" s="5" t="n"/>
      <c r="I177" s="5" t="n"/>
    </row>
    <row r="178">
      <c r="A178" s="18" t="n"/>
      <c r="B178" s="18" t="n"/>
      <c r="C178" s="5" t="n"/>
      <c r="D178" s="30" t="n"/>
      <c r="E178" s="18" t="n"/>
      <c r="F178" s="5" t="n"/>
      <c r="G178" s="5" t="n"/>
      <c r="H178" s="5" t="n"/>
      <c r="I178" s="5" t="n"/>
    </row>
    <row r="179">
      <c r="A179" s="18" t="n"/>
      <c r="B179" s="18" t="n"/>
      <c r="C179" s="5" t="n"/>
      <c r="D179" s="30" t="n"/>
      <c r="E179" s="18" t="n"/>
      <c r="F179" s="5" t="n"/>
      <c r="G179" s="5" t="n"/>
      <c r="H179" s="5" t="n"/>
      <c r="I179" s="5" t="n"/>
    </row>
    <row r="180">
      <c r="A180" s="18" t="n"/>
      <c r="B180" s="18" t="n"/>
      <c r="C180" s="5" t="n"/>
      <c r="D180" s="30" t="n"/>
      <c r="E180" s="18" t="n"/>
      <c r="F180" s="5" t="n"/>
      <c r="G180" s="5" t="n"/>
      <c r="H180" s="5" t="n"/>
      <c r="I180" s="5" t="n"/>
    </row>
    <row r="181">
      <c r="A181" s="18" t="n"/>
      <c r="B181" s="18" t="n"/>
      <c r="C181" s="5" t="n"/>
      <c r="D181" s="30" t="n"/>
      <c r="E181" s="18" t="n"/>
      <c r="F181" s="5" t="n"/>
      <c r="G181" s="5" t="n"/>
      <c r="H181" s="5" t="n"/>
      <c r="I181" s="5" t="n"/>
    </row>
    <row r="182">
      <c r="A182" s="18" t="n"/>
      <c r="B182" s="18" t="n"/>
      <c r="C182" s="5" t="n"/>
      <c r="D182" s="30" t="n"/>
      <c r="E182" s="18" t="n"/>
      <c r="F182" s="5" t="n"/>
      <c r="G182" s="5" t="n"/>
      <c r="H182" s="5" t="n"/>
      <c r="I182" s="5" t="n"/>
    </row>
    <row r="183">
      <c r="A183" s="18" t="n"/>
      <c r="B183" s="18" t="n"/>
      <c r="C183" s="5" t="n"/>
      <c r="D183" s="30" t="n"/>
      <c r="E183" s="18" t="n"/>
      <c r="F183" s="5" t="n"/>
      <c r="G183" s="5" t="n"/>
      <c r="H183" s="5" t="n"/>
      <c r="I183" s="5" t="n"/>
    </row>
    <row r="184">
      <c r="A184" s="18" t="n"/>
      <c r="B184" s="18" t="n"/>
      <c r="C184" s="5" t="n"/>
      <c r="D184" s="30" t="n"/>
      <c r="E184" s="18" t="n"/>
      <c r="F184" s="5" t="n"/>
      <c r="G184" s="5" t="n"/>
      <c r="H184" s="5" t="n"/>
      <c r="I184" s="5" t="n"/>
    </row>
    <row r="185">
      <c r="A185" s="18" t="n"/>
      <c r="B185" s="18" t="n"/>
      <c r="C185" s="5" t="n"/>
      <c r="D185" s="30" t="n"/>
      <c r="E185" s="18" t="n"/>
      <c r="F185" s="5" t="n"/>
      <c r="G185" s="5" t="n"/>
      <c r="H185" s="5" t="n"/>
      <c r="I185" s="5" t="n"/>
    </row>
    <row r="186">
      <c r="A186" s="18" t="n"/>
      <c r="B186" s="18" t="n"/>
      <c r="C186" s="5" t="n"/>
      <c r="D186" s="30" t="n"/>
      <c r="E186" s="18" t="n"/>
      <c r="F186" s="5" t="n"/>
      <c r="G186" s="5" t="n"/>
      <c r="H186" s="5" t="n"/>
      <c r="I186" s="5" t="n"/>
    </row>
    <row r="187">
      <c r="A187" s="18" t="n"/>
      <c r="B187" s="18" t="n"/>
      <c r="C187" s="5" t="n"/>
      <c r="D187" s="30" t="n"/>
      <c r="E187" s="18" t="n"/>
      <c r="F187" s="5" t="n"/>
      <c r="G187" s="5" t="n"/>
      <c r="H187" s="5" t="n"/>
      <c r="I187" s="5" t="n"/>
    </row>
    <row r="188">
      <c r="A188" s="18" t="n"/>
      <c r="B188" s="18" t="n"/>
      <c r="C188" s="5" t="n"/>
      <c r="D188" s="30" t="n"/>
      <c r="E188" s="18" t="n"/>
      <c r="F188" s="5" t="n"/>
      <c r="G188" s="5" t="n"/>
      <c r="H188" s="5" t="n"/>
      <c r="I188" s="5" t="n"/>
    </row>
    <row r="189">
      <c r="A189" s="18" t="n"/>
      <c r="B189" s="18" t="n"/>
      <c r="C189" s="5" t="n"/>
      <c r="D189" s="30" t="n"/>
      <c r="E189" s="18" t="n"/>
      <c r="F189" s="5" t="n"/>
      <c r="G189" s="5" t="n"/>
      <c r="H189" s="5" t="n"/>
      <c r="I189" s="5" t="n"/>
    </row>
    <row r="190">
      <c r="A190" s="18" t="n"/>
      <c r="B190" s="18" t="n"/>
      <c r="C190" s="5" t="n"/>
      <c r="D190" s="30" t="n"/>
      <c r="E190" s="18" t="n"/>
      <c r="F190" s="5" t="n"/>
      <c r="G190" s="5" t="n"/>
      <c r="H190" s="5" t="n"/>
      <c r="I190" s="5" t="n"/>
    </row>
    <row r="191">
      <c r="A191" s="18" t="n"/>
      <c r="B191" s="18" t="n"/>
      <c r="C191" s="5" t="n"/>
      <c r="D191" s="30" t="n"/>
      <c r="E191" s="18" t="n"/>
      <c r="F191" s="5" t="n"/>
      <c r="G191" s="5" t="n"/>
      <c r="H191" s="5" t="n"/>
      <c r="I191" s="5" t="n"/>
    </row>
    <row r="192">
      <c r="A192" s="18" t="n"/>
      <c r="B192" s="18" t="n"/>
      <c r="C192" s="5" t="n"/>
      <c r="D192" s="30" t="n"/>
      <c r="E192" s="18" t="n"/>
      <c r="F192" s="5" t="n"/>
      <c r="G192" s="5" t="n"/>
      <c r="H192" s="5" t="n"/>
      <c r="I192" s="5" t="n"/>
    </row>
    <row r="193">
      <c r="A193" s="18" t="n"/>
      <c r="B193" s="18" t="n"/>
      <c r="C193" s="5" t="n"/>
      <c r="D193" s="30" t="n"/>
      <c r="E193" s="18" t="n"/>
      <c r="F193" s="5" t="n"/>
      <c r="G193" s="5" t="n"/>
      <c r="H193" s="5" t="n"/>
      <c r="I193" s="5" t="n"/>
    </row>
    <row r="194">
      <c r="A194" s="18" t="n"/>
      <c r="B194" s="18" t="n"/>
      <c r="C194" s="5" t="n"/>
      <c r="D194" s="30" t="n"/>
      <c r="E194" s="18" t="n"/>
      <c r="F194" s="5" t="n"/>
      <c r="G194" s="5" t="n"/>
      <c r="H194" s="5" t="n"/>
      <c r="I194" s="5" t="n"/>
    </row>
    <row r="195">
      <c r="A195" s="18" t="n"/>
      <c r="B195" s="18" t="n"/>
      <c r="C195" s="5" t="n"/>
      <c r="D195" s="30" t="n"/>
      <c r="E195" s="18" t="n"/>
      <c r="F195" s="5" t="n"/>
      <c r="G195" s="5" t="n"/>
      <c r="H195" s="5" t="n"/>
      <c r="I195" s="5" t="n"/>
    </row>
    <row r="196">
      <c r="A196" s="18" t="n"/>
      <c r="B196" s="18" t="n"/>
      <c r="C196" s="5" t="n"/>
      <c r="D196" s="30" t="n"/>
      <c r="E196" s="18" t="n"/>
      <c r="F196" s="5" t="n"/>
      <c r="G196" s="5" t="n"/>
      <c r="H196" s="5" t="n"/>
      <c r="I196" s="5" t="n"/>
    </row>
    <row r="197">
      <c r="A197" s="18" t="n"/>
      <c r="B197" s="18" t="n"/>
      <c r="C197" s="5" t="n"/>
      <c r="D197" s="30" t="n"/>
      <c r="E197" s="18" t="n"/>
      <c r="F197" s="5" t="n"/>
      <c r="G197" s="5" t="n"/>
      <c r="H197" s="5" t="n"/>
      <c r="I197" s="5" t="n"/>
    </row>
    <row r="198">
      <c r="A198" s="18" t="n"/>
      <c r="B198" s="18" t="n"/>
      <c r="C198" s="5" t="n"/>
      <c r="D198" s="30" t="n"/>
      <c r="E198" s="18" t="n"/>
      <c r="F198" s="5" t="n"/>
      <c r="G198" s="5" t="n"/>
      <c r="H198" s="5" t="n"/>
      <c r="I198" s="5" t="n"/>
    </row>
    <row r="199">
      <c r="A199" s="18" t="n"/>
      <c r="B199" s="18" t="n"/>
      <c r="C199" s="5" t="n"/>
      <c r="D199" s="30" t="n"/>
      <c r="E199" s="18" t="n"/>
      <c r="F199" s="5" t="n"/>
      <c r="G199" s="5" t="n"/>
      <c r="H199" s="5" t="n"/>
      <c r="I199" s="5" t="n"/>
    </row>
    <row r="200">
      <c r="A200" s="18" t="n"/>
      <c r="B200" s="18" t="n"/>
      <c r="C200" s="5" t="n"/>
      <c r="D200" s="30" t="n"/>
      <c r="E200" s="18" t="n"/>
      <c r="F200" s="5" t="n"/>
      <c r="G200" s="5" t="n"/>
      <c r="H200" s="5" t="n"/>
      <c r="I200" s="5" t="n"/>
    </row>
    <row r="201">
      <c r="A201" s="18" t="n"/>
      <c r="B201" s="18" t="n"/>
      <c r="C201" s="5" t="n"/>
      <c r="D201" s="30" t="n"/>
      <c r="E201" s="18" t="n"/>
      <c r="F201" s="5" t="n"/>
      <c r="G201" s="5" t="n"/>
      <c r="H201" s="5" t="n"/>
      <c r="I201" s="5" t="n"/>
    </row>
  </sheetData>
  <conditionalFormatting sqref="A2:A201">
    <cfRule type="expression" priority="1" dxfId="2">
      <formula>AND($A2&lt;&gt;"",COUNTIF($A$2:$A$201,$A2)&gt;1)</formula>
    </cfRule>
  </conditionalFormatting>
  <conditionalFormatting sqref="B2:B201">
    <cfRule type="expression" priority="2" dxfId="2">
      <formula>AND($B2&lt;&gt;"",COUNTIF('Title Companies'!$A$2:$A$101,$B2)=0)</formula>
    </cfRule>
  </conditionalFormatting>
  <conditionalFormatting sqref="A2:I201">
    <cfRule type="expression" priority="10" dxfId="3">
      <formula>MOD(ROW(),2)=0</formula>
    </cfRule>
  </conditionalFormatting>
  <dataValidations count="1">
    <dataValidation sqref="B2:B201" showDropDown="0" showInputMessage="0" showErrorMessage="0" allowBlank="1" type="list">
      <formula1>TitleList</formula1>
    </dataValidation>
  </dataValidation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L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22" customWidth="1" min="3" max="3"/>
    <col width="14" customWidth="1" min="4" max="4"/>
    <col width="30" customWidth="1" min="5" max="5"/>
    <col width="55" customWidth="1" min="6" max="6"/>
    <col width="16" customWidth="1" min="7" max="7"/>
    <col width="14" customWidth="1" min="8" max="8"/>
    <col width="26" customWidth="1" min="9" max="9"/>
    <col width="30" customWidth="1" min="10" max="10"/>
    <col hidden="1" width="26" customWidth="1" min="11" max="11"/>
    <col hidden="1" width="30" customWidth="1" min="12" max="12"/>
  </cols>
  <sheetData>
    <row r="1" ht="28" customHeight="1">
      <c r="A1" s="17" t="inlineStr">
        <is>
          <t>Builder Name</t>
        </is>
      </c>
      <c r="B1" s="17" t="inlineStr">
        <is>
          <t>Role</t>
        </is>
      </c>
      <c r="C1" s="17" t="inlineStr">
        <is>
          <t>Contact Name</t>
        </is>
      </c>
      <c r="D1" s="17" t="inlineStr">
        <is>
          <t>Phone</t>
        </is>
      </c>
      <c r="E1" s="17" t="inlineStr">
        <is>
          <t>Email</t>
        </is>
      </c>
      <c r="F1" s="17" t="inlineStr">
        <is>
          <t>What They Handle / When to Contact</t>
        </is>
      </c>
      <c r="G1" s="17" t="inlineStr">
        <is>
          <t>Assistant Name</t>
        </is>
      </c>
      <c r="H1" s="17" t="inlineStr">
        <is>
          <t>Assistant Phone</t>
        </is>
      </c>
      <c r="I1" s="17" t="inlineStr">
        <is>
          <t>Assistant Email</t>
        </is>
      </c>
      <c r="J1" s="17" t="inlineStr">
        <is>
          <t>Notes</t>
        </is>
      </c>
      <c r="K1" s="17" t="inlineStr">
        <is>
          <t>AUTO - KEY (hidden - do not touch)</t>
        </is>
      </c>
      <c r="L1" s="17" t="inlineStr">
        <is>
          <t>AUTO - ASSISTANT (hidden - do not touch)</t>
        </is>
      </c>
    </row>
    <row r="2">
      <c r="A2" s="18" t="n"/>
      <c r="B2" s="18" t="n"/>
      <c r="C2" s="18" t="n"/>
      <c r="D2" s="30" t="n"/>
      <c r="E2" s="18" t="n"/>
      <c r="F2" s="5" t="n"/>
      <c r="G2" s="18" t="n"/>
      <c r="H2" s="30" t="n"/>
      <c r="I2" s="18" t="n"/>
      <c r="J2" s="5" t="n"/>
      <c r="K2">
        <f>IF($A2="","",$A2&amp;"|"&amp;COUNTIF($A$2:$A2,$A2))</f>
        <v/>
      </c>
      <c r="L2">
        <f>IF($G2="","",$G2&amp;IF($H2="",""," / "&amp;$H2)&amp;IF($I2="",""," / "&amp;$I2))</f>
        <v/>
      </c>
    </row>
    <row r="3">
      <c r="A3" s="18" t="n"/>
      <c r="B3" s="18" t="n"/>
      <c r="C3" s="18" t="n"/>
      <c r="D3" s="30" t="n"/>
      <c r="E3" s="18" t="n"/>
      <c r="F3" s="5" t="n"/>
      <c r="G3" s="18" t="n"/>
      <c r="H3" s="30" t="n"/>
      <c r="I3" s="18" t="n"/>
      <c r="J3" s="5" t="n"/>
      <c r="K3">
        <f>IF($A3="","",$A3&amp;"|"&amp;COUNTIF($A$2:$A3,$A3))</f>
        <v/>
      </c>
      <c r="L3">
        <f>IF($G3="","",$G3&amp;IF($H3="",""," / "&amp;$H3)&amp;IF($I3="",""," / "&amp;$I3))</f>
        <v/>
      </c>
    </row>
    <row r="4">
      <c r="A4" s="18" t="n"/>
      <c r="B4" s="18" t="n"/>
      <c r="C4" s="18" t="n"/>
      <c r="D4" s="30" t="n"/>
      <c r="E4" s="18" t="n"/>
      <c r="F4" s="5" t="n"/>
      <c r="G4" s="18" t="n"/>
      <c r="H4" s="30" t="n"/>
      <c r="I4" s="18" t="n"/>
      <c r="J4" s="5" t="n"/>
      <c r="K4">
        <f>IF($A4="","",$A4&amp;"|"&amp;COUNTIF($A$2:$A4,$A4))</f>
        <v/>
      </c>
      <c r="L4">
        <f>IF($G4="","",$G4&amp;IF($H4="",""," / "&amp;$H4)&amp;IF($I4="",""," / "&amp;$I4))</f>
        <v/>
      </c>
    </row>
    <row r="5">
      <c r="A5" s="18" t="n"/>
      <c r="B5" s="18" t="n"/>
      <c r="C5" s="18" t="n"/>
      <c r="D5" s="30" t="n"/>
      <c r="E5" s="18" t="n"/>
      <c r="F5" s="5" t="n"/>
      <c r="G5" s="18" t="n"/>
      <c r="H5" s="30" t="n"/>
      <c r="I5" s="18" t="n"/>
      <c r="J5" s="5" t="n"/>
      <c r="K5">
        <f>IF($A5="","",$A5&amp;"|"&amp;COUNTIF($A$2:$A5,$A5))</f>
        <v/>
      </c>
      <c r="L5">
        <f>IF($G5="","",$G5&amp;IF($H5="",""," / "&amp;$H5)&amp;IF($I5="",""," / "&amp;$I5))</f>
        <v/>
      </c>
    </row>
    <row r="6">
      <c r="A6" s="18" t="n"/>
      <c r="B6" s="18" t="n"/>
      <c r="C6" s="18" t="n"/>
      <c r="D6" s="30" t="n"/>
      <c r="E6" s="18" t="n"/>
      <c r="F6" s="5" t="n"/>
      <c r="G6" s="18" t="n"/>
      <c r="H6" s="30" t="n"/>
      <c r="I6" s="18" t="n"/>
      <c r="J6" s="5" t="n"/>
      <c r="K6">
        <f>IF($A6="","",$A6&amp;"|"&amp;COUNTIF($A$2:$A6,$A6))</f>
        <v/>
      </c>
      <c r="L6">
        <f>IF($G6="","",$G6&amp;IF($H6="",""," / "&amp;$H6)&amp;IF($I6="",""," / "&amp;$I6))</f>
        <v/>
      </c>
    </row>
    <row r="7">
      <c r="A7" s="18" t="n"/>
      <c r="B7" s="18" t="n"/>
      <c r="C7" s="18" t="n"/>
      <c r="D7" s="30" t="n"/>
      <c r="E7" s="18" t="n"/>
      <c r="F7" s="5" t="n"/>
      <c r="G7" s="18" t="n"/>
      <c r="H7" s="30" t="n"/>
      <c r="I7" s="18" t="n"/>
      <c r="J7" s="5" t="n"/>
      <c r="K7">
        <f>IF($A7="","",$A7&amp;"|"&amp;COUNTIF($A$2:$A7,$A7))</f>
        <v/>
      </c>
      <c r="L7">
        <f>IF($G7="","",$G7&amp;IF($H7="",""," / "&amp;$H7)&amp;IF($I7="",""," / "&amp;$I7))</f>
        <v/>
      </c>
    </row>
    <row r="8">
      <c r="A8" s="18" t="n"/>
      <c r="B8" s="18" t="n"/>
      <c r="C8" s="18" t="n"/>
      <c r="D8" s="30" t="n"/>
      <c r="E8" s="18" t="n"/>
      <c r="F8" s="5" t="n"/>
      <c r="G8" s="18" t="n"/>
      <c r="H8" s="30" t="n"/>
      <c r="I8" s="18" t="n"/>
      <c r="J8" s="5" t="n"/>
      <c r="K8">
        <f>IF($A8="","",$A8&amp;"|"&amp;COUNTIF($A$2:$A8,$A8))</f>
        <v/>
      </c>
      <c r="L8">
        <f>IF($G8="","",$G8&amp;IF($H8="",""," / "&amp;$H8)&amp;IF($I8="",""," / "&amp;$I8))</f>
        <v/>
      </c>
    </row>
    <row r="9">
      <c r="A9" s="18" t="n"/>
      <c r="B9" s="18" t="n"/>
      <c r="C9" s="18" t="n"/>
      <c r="D9" s="30" t="n"/>
      <c r="E9" s="18" t="n"/>
      <c r="F9" s="5" t="n"/>
      <c r="G9" s="18" t="n"/>
      <c r="H9" s="30" t="n"/>
      <c r="I9" s="18" t="n"/>
      <c r="J9" s="5" t="n"/>
      <c r="K9">
        <f>IF($A9="","",$A9&amp;"|"&amp;COUNTIF($A$2:$A9,$A9))</f>
        <v/>
      </c>
      <c r="L9">
        <f>IF($G9="","",$G9&amp;IF($H9="",""," / "&amp;$H9)&amp;IF($I9="",""," / "&amp;$I9))</f>
        <v/>
      </c>
    </row>
    <row r="10">
      <c r="A10" s="18" t="n"/>
      <c r="B10" s="18" t="n"/>
      <c r="C10" s="18" t="n"/>
      <c r="D10" s="30" t="n"/>
      <c r="E10" s="18" t="n"/>
      <c r="F10" s="5" t="n"/>
      <c r="G10" s="18" t="n"/>
      <c r="H10" s="30" t="n"/>
      <c r="I10" s="18" t="n"/>
      <c r="J10" s="5" t="n"/>
      <c r="K10">
        <f>IF($A10="","",$A10&amp;"|"&amp;COUNTIF($A$2:$A10,$A10))</f>
        <v/>
      </c>
      <c r="L10">
        <f>IF($G10="","",$G10&amp;IF($H10="",""," / "&amp;$H10)&amp;IF($I10="",""," / "&amp;$I10))</f>
        <v/>
      </c>
    </row>
    <row r="11">
      <c r="A11" s="18" t="n"/>
      <c r="B11" s="18" t="n"/>
      <c r="C11" s="18" t="n"/>
      <c r="D11" s="30" t="n"/>
      <c r="E11" s="18" t="n"/>
      <c r="F11" s="5" t="n"/>
      <c r="G11" s="18" t="n"/>
      <c r="H11" s="30" t="n"/>
      <c r="I11" s="18" t="n"/>
      <c r="J11" s="5" t="n"/>
      <c r="K11">
        <f>IF($A11="","",$A11&amp;"|"&amp;COUNTIF($A$2:$A11,$A11))</f>
        <v/>
      </c>
      <c r="L11">
        <f>IF($G11="","",$G11&amp;IF($H11="",""," / "&amp;$H11)&amp;IF($I11="",""," / "&amp;$I11))</f>
        <v/>
      </c>
    </row>
    <row r="12">
      <c r="A12" s="18" t="n"/>
      <c r="B12" s="18" t="n"/>
      <c r="C12" s="18" t="n"/>
      <c r="D12" s="30" t="n"/>
      <c r="E12" s="18" t="n"/>
      <c r="F12" s="5" t="n"/>
      <c r="G12" s="18" t="n"/>
      <c r="H12" s="30" t="n"/>
      <c r="I12" s="18" t="n"/>
      <c r="J12" s="5" t="n"/>
      <c r="K12">
        <f>IF($A12="","",$A12&amp;"|"&amp;COUNTIF($A$2:$A12,$A12))</f>
        <v/>
      </c>
      <c r="L12">
        <f>IF($G12="","",$G12&amp;IF($H12="",""," / "&amp;$H12)&amp;IF($I12="",""," / "&amp;$I12))</f>
        <v/>
      </c>
    </row>
    <row r="13">
      <c r="A13" s="18" t="n"/>
      <c r="B13" s="18" t="n"/>
      <c r="C13" s="18" t="n"/>
      <c r="D13" s="30" t="n"/>
      <c r="E13" s="18" t="n"/>
      <c r="F13" s="5" t="n"/>
      <c r="G13" s="18" t="n"/>
      <c r="H13" s="30" t="n"/>
      <c r="I13" s="18" t="n"/>
      <c r="J13" s="5" t="n"/>
      <c r="K13">
        <f>IF($A13="","",$A13&amp;"|"&amp;COUNTIF($A$2:$A13,$A13))</f>
        <v/>
      </c>
      <c r="L13">
        <f>IF($G13="","",$G13&amp;IF($H13="",""," / "&amp;$H13)&amp;IF($I13="",""," / "&amp;$I13))</f>
        <v/>
      </c>
    </row>
    <row r="14">
      <c r="A14" s="18" t="n"/>
      <c r="B14" s="18" t="n"/>
      <c r="C14" s="18" t="n"/>
      <c r="D14" s="30" t="n"/>
      <c r="E14" s="18" t="n"/>
      <c r="F14" s="5" t="n"/>
      <c r="G14" s="18" t="n"/>
      <c r="H14" s="30" t="n"/>
      <c r="I14" s="18" t="n"/>
      <c r="J14" s="5" t="n"/>
      <c r="K14">
        <f>IF($A14="","",$A14&amp;"|"&amp;COUNTIF($A$2:$A14,$A14))</f>
        <v/>
      </c>
      <c r="L14">
        <f>IF($G14="","",$G14&amp;IF($H14="",""," / "&amp;$H14)&amp;IF($I14="",""," / "&amp;$I14))</f>
        <v/>
      </c>
    </row>
    <row r="15">
      <c r="A15" s="18" t="n"/>
      <c r="B15" s="18" t="n"/>
      <c r="C15" s="18" t="n"/>
      <c r="D15" s="30" t="n"/>
      <c r="E15" s="18" t="n"/>
      <c r="F15" s="5" t="n"/>
      <c r="G15" s="18" t="n"/>
      <c r="H15" s="30" t="n"/>
      <c r="I15" s="18" t="n"/>
      <c r="J15" s="5" t="n"/>
      <c r="K15">
        <f>IF($A15="","",$A15&amp;"|"&amp;COUNTIF($A$2:$A15,$A15))</f>
        <v/>
      </c>
      <c r="L15">
        <f>IF($G15="","",$G15&amp;IF($H15="",""," / "&amp;$H15)&amp;IF($I15="",""," / "&amp;$I15))</f>
        <v/>
      </c>
    </row>
    <row r="16">
      <c r="A16" s="18" t="n"/>
      <c r="B16" s="18" t="n"/>
      <c r="C16" s="18" t="n"/>
      <c r="D16" s="30" t="n"/>
      <c r="E16" s="18" t="n"/>
      <c r="F16" s="5" t="n"/>
      <c r="G16" s="18" t="n"/>
      <c r="H16" s="30" t="n"/>
      <c r="I16" s="18" t="n"/>
      <c r="J16" s="5" t="n"/>
      <c r="K16">
        <f>IF($A16="","",$A16&amp;"|"&amp;COUNTIF($A$2:$A16,$A16))</f>
        <v/>
      </c>
      <c r="L16">
        <f>IF($G16="","",$G16&amp;IF($H16="",""," / "&amp;$H16)&amp;IF($I16="",""," / "&amp;$I16))</f>
        <v/>
      </c>
    </row>
    <row r="17">
      <c r="A17" s="18" t="n"/>
      <c r="B17" s="18" t="n"/>
      <c r="C17" s="18" t="n"/>
      <c r="D17" s="30" t="n"/>
      <c r="E17" s="18" t="n"/>
      <c r="F17" s="5" t="n"/>
      <c r="G17" s="18" t="n"/>
      <c r="H17" s="30" t="n"/>
      <c r="I17" s="18" t="n"/>
      <c r="J17" s="5" t="n"/>
      <c r="K17">
        <f>IF($A17="","",$A17&amp;"|"&amp;COUNTIF($A$2:$A17,$A17))</f>
        <v/>
      </c>
      <c r="L17">
        <f>IF($G17="","",$G17&amp;IF($H17="",""," / "&amp;$H17)&amp;IF($I17="",""," / "&amp;$I17))</f>
        <v/>
      </c>
    </row>
    <row r="18">
      <c r="A18" s="18" t="n"/>
      <c r="B18" s="18" t="n"/>
      <c r="C18" s="18" t="n"/>
      <c r="D18" s="30" t="n"/>
      <c r="E18" s="18" t="n"/>
      <c r="F18" s="5" t="n"/>
      <c r="G18" s="18" t="n"/>
      <c r="H18" s="30" t="n"/>
      <c r="I18" s="18" t="n"/>
      <c r="J18" s="5" t="n"/>
      <c r="K18">
        <f>IF($A18="","",$A18&amp;"|"&amp;COUNTIF($A$2:$A18,$A18))</f>
        <v/>
      </c>
      <c r="L18">
        <f>IF($G18="","",$G18&amp;IF($H18="",""," / "&amp;$H18)&amp;IF($I18="",""," / "&amp;$I18))</f>
        <v/>
      </c>
    </row>
    <row r="19">
      <c r="A19" s="18" t="n"/>
      <c r="B19" s="18" t="n"/>
      <c r="C19" s="18" t="n"/>
      <c r="D19" s="30" t="n"/>
      <c r="E19" s="18" t="n"/>
      <c r="F19" s="5" t="n"/>
      <c r="G19" s="18" t="n"/>
      <c r="H19" s="30" t="n"/>
      <c r="I19" s="18" t="n"/>
      <c r="J19" s="5" t="n"/>
      <c r="K19">
        <f>IF($A19="","",$A19&amp;"|"&amp;COUNTIF($A$2:$A19,$A19))</f>
        <v/>
      </c>
      <c r="L19">
        <f>IF($G19="","",$G19&amp;IF($H19="",""," / "&amp;$H19)&amp;IF($I19="",""," / "&amp;$I19))</f>
        <v/>
      </c>
    </row>
    <row r="20">
      <c r="A20" s="18" t="n"/>
      <c r="B20" s="18" t="n"/>
      <c r="C20" s="18" t="n"/>
      <c r="D20" s="30" t="n"/>
      <c r="E20" s="18" t="n"/>
      <c r="F20" s="5" t="n"/>
      <c r="G20" s="18" t="n"/>
      <c r="H20" s="30" t="n"/>
      <c r="I20" s="18" t="n"/>
      <c r="J20" s="5" t="n"/>
      <c r="K20">
        <f>IF($A20="","",$A20&amp;"|"&amp;COUNTIF($A$2:$A20,$A20))</f>
        <v/>
      </c>
      <c r="L20">
        <f>IF($G20="","",$G20&amp;IF($H20="",""," / "&amp;$H20)&amp;IF($I20="",""," / "&amp;$I20))</f>
        <v/>
      </c>
    </row>
    <row r="21">
      <c r="A21" s="18" t="n"/>
      <c r="B21" s="18" t="n"/>
      <c r="C21" s="18" t="n"/>
      <c r="D21" s="30" t="n"/>
      <c r="E21" s="18" t="n"/>
      <c r="F21" s="5" t="n"/>
      <c r="G21" s="18" t="n"/>
      <c r="H21" s="30" t="n"/>
      <c r="I21" s="18" t="n"/>
      <c r="J21" s="5" t="n"/>
      <c r="K21">
        <f>IF($A21="","",$A21&amp;"|"&amp;COUNTIF($A$2:$A21,$A21))</f>
        <v/>
      </c>
      <c r="L21">
        <f>IF($G21="","",$G21&amp;IF($H21="",""," / "&amp;$H21)&amp;IF($I21="",""," / "&amp;$I21))</f>
        <v/>
      </c>
    </row>
    <row r="22">
      <c r="A22" s="18" t="n"/>
      <c r="B22" s="18" t="n"/>
      <c r="C22" s="18" t="n"/>
      <c r="D22" s="30" t="n"/>
      <c r="E22" s="18" t="n"/>
      <c r="F22" s="5" t="n"/>
      <c r="G22" s="18" t="n"/>
      <c r="H22" s="30" t="n"/>
      <c r="I22" s="18" t="n"/>
      <c r="J22" s="5" t="n"/>
      <c r="K22">
        <f>IF($A22="","",$A22&amp;"|"&amp;COUNTIF($A$2:$A22,$A22))</f>
        <v/>
      </c>
      <c r="L22">
        <f>IF($G22="","",$G22&amp;IF($H22="",""," / "&amp;$H22)&amp;IF($I22="",""," / "&amp;$I22))</f>
        <v/>
      </c>
    </row>
    <row r="23">
      <c r="A23" s="18" t="n"/>
      <c r="B23" s="18" t="n"/>
      <c r="C23" s="18" t="n"/>
      <c r="D23" s="30" t="n"/>
      <c r="E23" s="18" t="n"/>
      <c r="F23" s="5" t="n"/>
      <c r="G23" s="18" t="n"/>
      <c r="H23" s="30" t="n"/>
      <c r="I23" s="18" t="n"/>
      <c r="J23" s="5" t="n"/>
      <c r="K23">
        <f>IF($A23="","",$A23&amp;"|"&amp;COUNTIF($A$2:$A23,$A23))</f>
        <v/>
      </c>
      <c r="L23">
        <f>IF($G23="","",$G23&amp;IF($H23="",""," / "&amp;$H23)&amp;IF($I23="",""," / "&amp;$I23))</f>
        <v/>
      </c>
    </row>
    <row r="24">
      <c r="A24" s="18" t="n"/>
      <c r="B24" s="18" t="n"/>
      <c r="C24" s="18" t="n"/>
      <c r="D24" s="30" t="n"/>
      <c r="E24" s="18" t="n"/>
      <c r="F24" s="5" t="n"/>
      <c r="G24" s="18" t="n"/>
      <c r="H24" s="30" t="n"/>
      <c r="I24" s="18" t="n"/>
      <c r="J24" s="5" t="n"/>
      <c r="K24">
        <f>IF($A24="","",$A24&amp;"|"&amp;COUNTIF($A$2:$A24,$A24))</f>
        <v/>
      </c>
      <c r="L24">
        <f>IF($G24="","",$G24&amp;IF($H24="",""," / "&amp;$H24)&amp;IF($I24="",""," / "&amp;$I24))</f>
        <v/>
      </c>
    </row>
    <row r="25">
      <c r="A25" s="18" t="n"/>
      <c r="B25" s="18" t="n"/>
      <c r="C25" s="18" t="n"/>
      <c r="D25" s="30" t="n"/>
      <c r="E25" s="18" t="n"/>
      <c r="F25" s="5" t="n"/>
      <c r="G25" s="18" t="n"/>
      <c r="H25" s="30" t="n"/>
      <c r="I25" s="18" t="n"/>
      <c r="J25" s="5" t="n"/>
      <c r="K25">
        <f>IF($A25="","",$A25&amp;"|"&amp;COUNTIF($A$2:$A25,$A25))</f>
        <v/>
      </c>
      <c r="L25">
        <f>IF($G25="","",$G25&amp;IF($H25="",""," / "&amp;$H25)&amp;IF($I25="",""," / "&amp;$I25))</f>
        <v/>
      </c>
    </row>
    <row r="26">
      <c r="A26" s="18" t="n"/>
      <c r="B26" s="18" t="n"/>
      <c r="C26" s="18" t="n"/>
      <c r="D26" s="30" t="n"/>
      <c r="E26" s="18" t="n"/>
      <c r="F26" s="5" t="n"/>
      <c r="G26" s="18" t="n"/>
      <c r="H26" s="30" t="n"/>
      <c r="I26" s="18" t="n"/>
      <c r="J26" s="5" t="n"/>
      <c r="K26">
        <f>IF($A26="","",$A26&amp;"|"&amp;COUNTIF($A$2:$A26,$A26))</f>
        <v/>
      </c>
      <c r="L26">
        <f>IF($G26="","",$G26&amp;IF($H26="",""," / "&amp;$H26)&amp;IF($I26="",""," / "&amp;$I26))</f>
        <v/>
      </c>
    </row>
    <row r="27">
      <c r="A27" s="18" t="n"/>
      <c r="B27" s="18" t="n"/>
      <c r="C27" s="18" t="n"/>
      <c r="D27" s="30" t="n"/>
      <c r="E27" s="18" t="n"/>
      <c r="F27" s="5" t="n"/>
      <c r="G27" s="18" t="n"/>
      <c r="H27" s="30" t="n"/>
      <c r="I27" s="18" t="n"/>
      <c r="J27" s="5" t="n"/>
      <c r="K27">
        <f>IF($A27="","",$A27&amp;"|"&amp;COUNTIF($A$2:$A27,$A27))</f>
        <v/>
      </c>
      <c r="L27">
        <f>IF($G27="","",$G27&amp;IF($H27="",""," / "&amp;$H27)&amp;IF($I27="",""," / "&amp;$I27))</f>
        <v/>
      </c>
    </row>
    <row r="28">
      <c r="A28" s="18" t="n"/>
      <c r="B28" s="18" t="n"/>
      <c r="C28" s="18" t="n"/>
      <c r="D28" s="30" t="n"/>
      <c r="E28" s="18" t="n"/>
      <c r="F28" s="5" t="n"/>
      <c r="G28" s="18" t="n"/>
      <c r="H28" s="30" t="n"/>
      <c r="I28" s="18" t="n"/>
      <c r="J28" s="5" t="n"/>
      <c r="K28">
        <f>IF($A28="","",$A28&amp;"|"&amp;COUNTIF($A$2:$A28,$A28))</f>
        <v/>
      </c>
      <c r="L28">
        <f>IF($G28="","",$G28&amp;IF($H28="",""," / "&amp;$H28)&amp;IF($I28="",""," / "&amp;$I28))</f>
        <v/>
      </c>
    </row>
    <row r="29">
      <c r="A29" s="18" t="n"/>
      <c r="B29" s="18" t="n"/>
      <c r="C29" s="18" t="n"/>
      <c r="D29" s="30" t="n"/>
      <c r="E29" s="18" t="n"/>
      <c r="F29" s="5" t="n"/>
      <c r="G29" s="18" t="n"/>
      <c r="H29" s="30" t="n"/>
      <c r="I29" s="18" t="n"/>
      <c r="J29" s="5" t="n"/>
      <c r="K29">
        <f>IF($A29="","",$A29&amp;"|"&amp;COUNTIF($A$2:$A29,$A29))</f>
        <v/>
      </c>
      <c r="L29">
        <f>IF($G29="","",$G29&amp;IF($H29="",""," / "&amp;$H29)&amp;IF($I29="",""," / "&amp;$I29))</f>
        <v/>
      </c>
    </row>
    <row r="30">
      <c r="A30" s="18" t="n"/>
      <c r="B30" s="18" t="n"/>
      <c r="C30" s="18" t="n"/>
      <c r="D30" s="30" t="n"/>
      <c r="E30" s="18" t="n"/>
      <c r="F30" s="5" t="n"/>
      <c r="G30" s="18" t="n"/>
      <c r="H30" s="30" t="n"/>
      <c r="I30" s="18" t="n"/>
      <c r="J30" s="5" t="n"/>
      <c r="K30">
        <f>IF($A30="","",$A30&amp;"|"&amp;COUNTIF($A$2:$A30,$A30))</f>
        <v/>
      </c>
      <c r="L30">
        <f>IF($G30="","",$G30&amp;IF($H30="",""," / "&amp;$H30)&amp;IF($I30="",""," / "&amp;$I30))</f>
        <v/>
      </c>
    </row>
    <row r="31">
      <c r="A31" s="18" t="n"/>
      <c r="B31" s="18" t="n"/>
      <c r="C31" s="18" t="n"/>
      <c r="D31" s="30" t="n"/>
      <c r="E31" s="18" t="n"/>
      <c r="F31" s="5" t="n"/>
      <c r="G31" s="18" t="n"/>
      <c r="H31" s="30" t="n"/>
      <c r="I31" s="18" t="n"/>
      <c r="J31" s="5" t="n"/>
      <c r="K31">
        <f>IF($A31="","",$A31&amp;"|"&amp;COUNTIF($A$2:$A31,$A31))</f>
        <v/>
      </c>
      <c r="L31">
        <f>IF($G31="","",$G31&amp;IF($H31="",""," / "&amp;$H31)&amp;IF($I31="",""," / "&amp;$I31))</f>
        <v/>
      </c>
    </row>
    <row r="32">
      <c r="A32" s="18" t="n"/>
      <c r="B32" s="18" t="n"/>
      <c r="C32" s="18" t="n"/>
      <c r="D32" s="30" t="n"/>
      <c r="E32" s="18" t="n"/>
      <c r="F32" s="5" t="n"/>
      <c r="G32" s="18" t="n"/>
      <c r="H32" s="30" t="n"/>
      <c r="I32" s="18" t="n"/>
      <c r="J32" s="5" t="n"/>
      <c r="K32">
        <f>IF($A32="","",$A32&amp;"|"&amp;COUNTIF($A$2:$A32,$A32))</f>
        <v/>
      </c>
      <c r="L32">
        <f>IF($G32="","",$G32&amp;IF($H32="",""," / "&amp;$H32)&amp;IF($I32="",""," / "&amp;$I32))</f>
        <v/>
      </c>
    </row>
    <row r="33">
      <c r="A33" s="18" t="n"/>
      <c r="B33" s="18" t="n"/>
      <c r="C33" s="18" t="n"/>
      <c r="D33" s="30" t="n"/>
      <c r="E33" s="18" t="n"/>
      <c r="F33" s="5" t="n"/>
      <c r="G33" s="18" t="n"/>
      <c r="H33" s="30" t="n"/>
      <c r="I33" s="18" t="n"/>
      <c r="J33" s="5" t="n"/>
      <c r="K33">
        <f>IF($A33="","",$A33&amp;"|"&amp;COUNTIF($A$2:$A33,$A33))</f>
        <v/>
      </c>
      <c r="L33">
        <f>IF($G33="","",$G33&amp;IF($H33="",""," / "&amp;$H33)&amp;IF($I33="",""," / "&amp;$I33))</f>
        <v/>
      </c>
    </row>
    <row r="34">
      <c r="A34" s="18" t="n"/>
      <c r="B34" s="18" t="n"/>
      <c r="C34" s="18" t="n"/>
      <c r="D34" s="30" t="n"/>
      <c r="E34" s="18" t="n"/>
      <c r="F34" s="5" t="n"/>
      <c r="G34" s="18" t="n"/>
      <c r="H34" s="30" t="n"/>
      <c r="I34" s="18" t="n"/>
      <c r="J34" s="5" t="n"/>
      <c r="K34">
        <f>IF($A34="","",$A34&amp;"|"&amp;COUNTIF($A$2:$A34,$A34))</f>
        <v/>
      </c>
      <c r="L34">
        <f>IF($G34="","",$G34&amp;IF($H34="",""," / "&amp;$H34)&amp;IF($I34="",""," / "&amp;$I34))</f>
        <v/>
      </c>
    </row>
    <row r="35">
      <c r="A35" s="18" t="n"/>
      <c r="B35" s="18" t="n"/>
      <c r="C35" s="18" t="n"/>
      <c r="D35" s="30" t="n"/>
      <c r="E35" s="18" t="n"/>
      <c r="F35" s="5" t="n"/>
      <c r="G35" s="18" t="n"/>
      <c r="H35" s="30" t="n"/>
      <c r="I35" s="18" t="n"/>
      <c r="J35" s="5" t="n"/>
      <c r="K35">
        <f>IF($A35="","",$A35&amp;"|"&amp;COUNTIF($A$2:$A35,$A35))</f>
        <v/>
      </c>
      <c r="L35">
        <f>IF($G35="","",$G35&amp;IF($H35="",""," / "&amp;$H35)&amp;IF($I35="",""," / "&amp;$I35))</f>
        <v/>
      </c>
    </row>
    <row r="36">
      <c r="A36" s="18" t="n"/>
      <c r="B36" s="18" t="n"/>
      <c r="C36" s="18" t="n"/>
      <c r="D36" s="30" t="n"/>
      <c r="E36" s="18" t="n"/>
      <c r="F36" s="5" t="n"/>
      <c r="G36" s="18" t="n"/>
      <c r="H36" s="30" t="n"/>
      <c r="I36" s="18" t="n"/>
      <c r="J36" s="5" t="n"/>
      <c r="K36">
        <f>IF($A36="","",$A36&amp;"|"&amp;COUNTIF($A$2:$A36,$A36))</f>
        <v/>
      </c>
      <c r="L36">
        <f>IF($G36="","",$G36&amp;IF($H36="",""," / "&amp;$H36)&amp;IF($I36="",""," / "&amp;$I36))</f>
        <v/>
      </c>
    </row>
    <row r="37">
      <c r="A37" s="18" t="n"/>
      <c r="B37" s="18" t="n"/>
      <c r="C37" s="18" t="n"/>
      <c r="D37" s="30" t="n"/>
      <c r="E37" s="18" t="n"/>
      <c r="F37" s="5" t="n"/>
      <c r="G37" s="18" t="n"/>
      <c r="H37" s="30" t="n"/>
      <c r="I37" s="18" t="n"/>
      <c r="J37" s="5" t="n"/>
      <c r="K37">
        <f>IF($A37="","",$A37&amp;"|"&amp;COUNTIF($A$2:$A37,$A37))</f>
        <v/>
      </c>
      <c r="L37">
        <f>IF($G37="","",$G37&amp;IF($H37="",""," / "&amp;$H37)&amp;IF($I37="",""," / "&amp;$I37))</f>
        <v/>
      </c>
    </row>
    <row r="38">
      <c r="A38" s="18" t="n"/>
      <c r="B38" s="18" t="n"/>
      <c r="C38" s="18" t="n"/>
      <c r="D38" s="30" t="n"/>
      <c r="E38" s="18" t="n"/>
      <c r="F38" s="5" t="n"/>
      <c r="G38" s="18" t="n"/>
      <c r="H38" s="30" t="n"/>
      <c r="I38" s="18" t="n"/>
      <c r="J38" s="5" t="n"/>
      <c r="K38">
        <f>IF($A38="","",$A38&amp;"|"&amp;COUNTIF($A$2:$A38,$A38))</f>
        <v/>
      </c>
      <c r="L38">
        <f>IF($G38="","",$G38&amp;IF($H38="",""," / "&amp;$H38)&amp;IF($I38="",""," / "&amp;$I38))</f>
        <v/>
      </c>
    </row>
    <row r="39">
      <c r="A39" s="18" t="n"/>
      <c r="B39" s="18" t="n"/>
      <c r="C39" s="18" t="n"/>
      <c r="D39" s="30" t="n"/>
      <c r="E39" s="18" t="n"/>
      <c r="F39" s="5" t="n"/>
      <c r="G39" s="18" t="n"/>
      <c r="H39" s="30" t="n"/>
      <c r="I39" s="18" t="n"/>
      <c r="J39" s="5" t="n"/>
      <c r="K39">
        <f>IF($A39="","",$A39&amp;"|"&amp;COUNTIF($A$2:$A39,$A39))</f>
        <v/>
      </c>
      <c r="L39">
        <f>IF($G39="","",$G39&amp;IF($H39="",""," / "&amp;$H39)&amp;IF($I39="",""," / "&amp;$I39))</f>
        <v/>
      </c>
    </row>
    <row r="40">
      <c r="A40" s="18" t="n"/>
      <c r="B40" s="18" t="n"/>
      <c r="C40" s="18" t="n"/>
      <c r="D40" s="30" t="n"/>
      <c r="E40" s="18" t="n"/>
      <c r="F40" s="5" t="n"/>
      <c r="G40" s="18" t="n"/>
      <c r="H40" s="30" t="n"/>
      <c r="I40" s="18" t="n"/>
      <c r="J40" s="5" t="n"/>
      <c r="K40">
        <f>IF($A40="","",$A40&amp;"|"&amp;COUNTIF($A$2:$A40,$A40))</f>
        <v/>
      </c>
      <c r="L40">
        <f>IF($G40="","",$G40&amp;IF($H40="",""," / "&amp;$H40)&amp;IF($I40="",""," / "&amp;$I40))</f>
        <v/>
      </c>
    </row>
    <row r="41">
      <c r="A41" s="18" t="n"/>
      <c r="B41" s="18" t="n"/>
      <c r="C41" s="18" t="n"/>
      <c r="D41" s="30" t="n"/>
      <c r="E41" s="18" t="n"/>
      <c r="F41" s="5" t="n"/>
      <c r="G41" s="18" t="n"/>
      <c r="H41" s="30" t="n"/>
      <c r="I41" s="18" t="n"/>
      <c r="J41" s="5" t="n"/>
      <c r="K41">
        <f>IF($A41="","",$A41&amp;"|"&amp;COUNTIF($A$2:$A41,$A41))</f>
        <v/>
      </c>
      <c r="L41">
        <f>IF($G41="","",$G41&amp;IF($H41="",""," / "&amp;$H41)&amp;IF($I41="",""," / "&amp;$I41))</f>
        <v/>
      </c>
    </row>
    <row r="42">
      <c r="A42" s="18" t="n"/>
      <c r="B42" s="18" t="n"/>
      <c r="C42" s="18" t="n"/>
      <c r="D42" s="30" t="n"/>
      <c r="E42" s="18" t="n"/>
      <c r="F42" s="5" t="n"/>
      <c r="G42" s="18" t="n"/>
      <c r="H42" s="30" t="n"/>
      <c r="I42" s="18" t="n"/>
      <c r="J42" s="5" t="n"/>
      <c r="K42">
        <f>IF($A42="","",$A42&amp;"|"&amp;COUNTIF($A$2:$A42,$A42))</f>
        <v/>
      </c>
      <c r="L42">
        <f>IF($G42="","",$G42&amp;IF($H42="",""," / "&amp;$H42)&amp;IF($I42="",""," / "&amp;$I42))</f>
        <v/>
      </c>
    </row>
    <row r="43">
      <c r="A43" s="18" t="n"/>
      <c r="B43" s="18" t="n"/>
      <c r="C43" s="18" t="n"/>
      <c r="D43" s="30" t="n"/>
      <c r="E43" s="18" t="n"/>
      <c r="F43" s="5" t="n"/>
      <c r="G43" s="18" t="n"/>
      <c r="H43" s="30" t="n"/>
      <c r="I43" s="18" t="n"/>
      <c r="J43" s="5" t="n"/>
      <c r="K43">
        <f>IF($A43="","",$A43&amp;"|"&amp;COUNTIF($A$2:$A43,$A43))</f>
        <v/>
      </c>
      <c r="L43">
        <f>IF($G43="","",$G43&amp;IF($H43="",""," / "&amp;$H43)&amp;IF($I43="",""," / "&amp;$I43))</f>
        <v/>
      </c>
    </row>
    <row r="44">
      <c r="A44" s="18" t="n"/>
      <c r="B44" s="18" t="n"/>
      <c r="C44" s="18" t="n"/>
      <c r="D44" s="30" t="n"/>
      <c r="E44" s="18" t="n"/>
      <c r="F44" s="5" t="n"/>
      <c r="G44" s="18" t="n"/>
      <c r="H44" s="30" t="n"/>
      <c r="I44" s="18" t="n"/>
      <c r="J44" s="5" t="n"/>
      <c r="K44">
        <f>IF($A44="","",$A44&amp;"|"&amp;COUNTIF($A$2:$A44,$A44))</f>
        <v/>
      </c>
      <c r="L44">
        <f>IF($G44="","",$G44&amp;IF($H44="",""," / "&amp;$H44)&amp;IF($I44="",""," / "&amp;$I44))</f>
        <v/>
      </c>
    </row>
    <row r="45">
      <c r="A45" s="18" t="n"/>
      <c r="B45" s="18" t="n"/>
      <c r="C45" s="18" t="n"/>
      <c r="D45" s="30" t="n"/>
      <c r="E45" s="18" t="n"/>
      <c r="F45" s="5" t="n"/>
      <c r="G45" s="18" t="n"/>
      <c r="H45" s="30" t="n"/>
      <c r="I45" s="18" t="n"/>
      <c r="J45" s="5" t="n"/>
      <c r="K45">
        <f>IF($A45="","",$A45&amp;"|"&amp;COUNTIF($A$2:$A45,$A45))</f>
        <v/>
      </c>
      <c r="L45">
        <f>IF($G45="","",$G45&amp;IF($H45="",""," / "&amp;$H45)&amp;IF($I45="",""," / "&amp;$I45))</f>
        <v/>
      </c>
    </row>
    <row r="46">
      <c r="A46" s="18" t="n"/>
      <c r="B46" s="18" t="n"/>
      <c r="C46" s="18" t="n"/>
      <c r="D46" s="30" t="n"/>
      <c r="E46" s="18" t="n"/>
      <c r="F46" s="5" t="n"/>
      <c r="G46" s="18" t="n"/>
      <c r="H46" s="30" t="n"/>
      <c r="I46" s="18" t="n"/>
      <c r="J46" s="5" t="n"/>
      <c r="K46">
        <f>IF($A46="","",$A46&amp;"|"&amp;COUNTIF($A$2:$A46,$A46))</f>
        <v/>
      </c>
      <c r="L46">
        <f>IF($G46="","",$G46&amp;IF($H46="",""," / "&amp;$H46)&amp;IF($I46="",""," / "&amp;$I46))</f>
        <v/>
      </c>
    </row>
    <row r="47">
      <c r="A47" s="18" t="n"/>
      <c r="B47" s="18" t="n"/>
      <c r="C47" s="18" t="n"/>
      <c r="D47" s="30" t="n"/>
      <c r="E47" s="18" t="n"/>
      <c r="F47" s="5" t="n"/>
      <c r="G47" s="18" t="n"/>
      <c r="H47" s="30" t="n"/>
      <c r="I47" s="18" t="n"/>
      <c r="J47" s="5" t="n"/>
      <c r="K47">
        <f>IF($A47="","",$A47&amp;"|"&amp;COUNTIF($A$2:$A47,$A47))</f>
        <v/>
      </c>
      <c r="L47">
        <f>IF($G47="","",$G47&amp;IF($H47="",""," / "&amp;$H47)&amp;IF($I47="",""," / "&amp;$I47))</f>
        <v/>
      </c>
    </row>
    <row r="48">
      <c r="A48" s="18" t="n"/>
      <c r="B48" s="18" t="n"/>
      <c r="C48" s="18" t="n"/>
      <c r="D48" s="30" t="n"/>
      <c r="E48" s="18" t="n"/>
      <c r="F48" s="5" t="n"/>
      <c r="G48" s="18" t="n"/>
      <c r="H48" s="30" t="n"/>
      <c r="I48" s="18" t="n"/>
      <c r="J48" s="5" t="n"/>
      <c r="K48">
        <f>IF($A48="","",$A48&amp;"|"&amp;COUNTIF($A$2:$A48,$A48))</f>
        <v/>
      </c>
      <c r="L48">
        <f>IF($G48="","",$G48&amp;IF($H48="",""," / "&amp;$H48)&amp;IF($I48="",""," / "&amp;$I48))</f>
        <v/>
      </c>
    </row>
    <row r="49">
      <c r="A49" s="18" t="n"/>
      <c r="B49" s="18" t="n"/>
      <c r="C49" s="18" t="n"/>
      <c r="D49" s="30" t="n"/>
      <c r="E49" s="18" t="n"/>
      <c r="F49" s="5" t="n"/>
      <c r="G49" s="18" t="n"/>
      <c r="H49" s="30" t="n"/>
      <c r="I49" s="18" t="n"/>
      <c r="J49" s="5" t="n"/>
      <c r="K49">
        <f>IF($A49="","",$A49&amp;"|"&amp;COUNTIF($A$2:$A49,$A49))</f>
        <v/>
      </c>
      <c r="L49">
        <f>IF($G49="","",$G49&amp;IF($H49="",""," / "&amp;$H49)&amp;IF($I49="",""," / "&amp;$I49))</f>
        <v/>
      </c>
    </row>
    <row r="50">
      <c r="A50" s="18" t="n"/>
      <c r="B50" s="18" t="n"/>
      <c r="C50" s="18" t="n"/>
      <c r="D50" s="30" t="n"/>
      <c r="E50" s="18" t="n"/>
      <c r="F50" s="5" t="n"/>
      <c r="G50" s="18" t="n"/>
      <c r="H50" s="30" t="n"/>
      <c r="I50" s="18" t="n"/>
      <c r="J50" s="5" t="n"/>
      <c r="K50">
        <f>IF($A50="","",$A50&amp;"|"&amp;COUNTIF($A$2:$A50,$A50))</f>
        <v/>
      </c>
      <c r="L50">
        <f>IF($G50="","",$G50&amp;IF($H50="",""," / "&amp;$H50)&amp;IF($I50="",""," / "&amp;$I50))</f>
        <v/>
      </c>
    </row>
    <row r="51">
      <c r="A51" s="18" t="n"/>
      <c r="B51" s="18" t="n"/>
      <c r="C51" s="18" t="n"/>
      <c r="D51" s="30" t="n"/>
      <c r="E51" s="18" t="n"/>
      <c r="F51" s="5" t="n"/>
      <c r="G51" s="18" t="n"/>
      <c r="H51" s="30" t="n"/>
      <c r="I51" s="18" t="n"/>
      <c r="J51" s="5" t="n"/>
      <c r="K51">
        <f>IF($A51="","",$A51&amp;"|"&amp;COUNTIF($A$2:$A51,$A51))</f>
        <v/>
      </c>
      <c r="L51">
        <f>IF($G51="","",$G51&amp;IF($H51="",""," / "&amp;$H51)&amp;IF($I51="",""," / "&amp;$I51))</f>
        <v/>
      </c>
    </row>
    <row r="52">
      <c r="A52" s="18" t="n"/>
      <c r="B52" s="18" t="n"/>
      <c r="C52" s="18" t="n"/>
      <c r="D52" s="30" t="n"/>
      <c r="E52" s="18" t="n"/>
      <c r="F52" s="5" t="n"/>
      <c r="G52" s="18" t="n"/>
      <c r="H52" s="30" t="n"/>
      <c r="I52" s="18" t="n"/>
      <c r="J52" s="5" t="n"/>
      <c r="K52">
        <f>IF($A52="","",$A52&amp;"|"&amp;COUNTIF($A$2:$A52,$A52))</f>
        <v/>
      </c>
      <c r="L52">
        <f>IF($G52="","",$G52&amp;IF($H52="",""," / "&amp;$H52)&amp;IF($I52="",""," / "&amp;$I52))</f>
        <v/>
      </c>
    </row>
    <row r="53">
      <c r="A53" s="18" t="n"/>
      <c r="B53" s="18" t="n"/>
      <c r="C53" s="18" t="n"/>
      <c r="D53" s="30" t="n"/>
      <c r="E53" s="18" t="n"/>
      <c r="F53" s="5" t="n"/>
      <c r="G53" s="18" t="n"/>
      <c r="H53" s="30" t="n"/>
      <c r="I53" s="18" t="n"/>
      <c r="J53" s="5" t="n"/>
      <c r="K53">
        <f>IF($A53="","",$A53&amp;"|"&amp;COUNTIF($A$2:$A53,$A53))</f>
        <v/>
      </c>
      <c r="L53">
        <f>IF($G53="","",$G53&amp;IF($H53="",""," / "&amp;$H53)&amp;IF($I53="",""," / "&amp;$I53))</f>
        <v/>
      </c>
    </row>
    <row r="54">
      <c r="A54" s="18" t="n"/>
      <c r="B54" s="18" t="n"/>
      <c r="C54" s="18" t="n"/>
      <c r="D54" s="30" t="n"/>
      <c r="E54" s="18" t="n"/>
      <c r="F54" s="5" t="n"/>
      <c r="G54" s="18" t="n"/>
      <c r="H54" s="30" t="n"/>
      <c r="I54" s="18" t="n"/>
      <c r="J54" s="5" t="n"/>
      <c r="K54">
        <f>IF($A54="","",$A54&amp;"|"&amp;COUNTIF($A$2:$A54,$A54))</f>
        <v/>
      </c>
      <c r="L54">
        <f>IF($G54="","",$G54&amp;IF($H54="",""," / "&amp;$H54)&amp;IF($I54="",""," / "&amp;$I54))</f>
        <v/>
      </c>
    </row>
    <row r="55">
      <c r="A55" s="18" t="n"/>
      <c r="B55" s="18" t="n"/>
      <c r="C55" s="18" t="n"/>
      <c r="D55" s="30" t="n"/>
      <c r="E55" s="18" t="n"/>
      <c r="F55" s="5" t="n"/>
      <c r="G55" s="18" t="n"/>
      <c r="H55" s="30" t="n"/>
      <c r="I55" s="18" t="n"/>
      <c r="J55" s="5" t="n"/>
      <c r="K55">
        <f>IF($A55="","",$A55&amp;"|"&amp;COUNTIF($A$2:$A55,$A55))</f>
        <v/>
      </c>
      <c r="L55">
        <f>IF($G55="","",$G55&amp;IF($H55="",""," / "&amp;$H55)&amp;IF($I55="",""," / "&amp;$I55))</f>
        <v/>
      </c>
    </row>
    <row r="56">
      <c r="A56" s="18" t="n"/>
      <c r="B56" s="18" t="n"/>
      <c r="C56" s="18" t="n"/>
      <c r="D56" s="30" t="n"/>
      <c r="E56" s="18" t="n"/>
      <c r="F56" s="5" t="n"/>
      <c r="G56" s="18" t="n"/>
      <c r="H56" s="30" t="n"/>
      <c r="I56" s="18" t="n"/>
      <c r="J56" s="5" t="n"/>
      <c r="K56">
        <f>IF($A56="","",$A56&amp;"|"&amp;COUNTIF($A$2:$A56,$A56))</f>
        <v/>
      </c>
      <c r="L56">
        <f>IF($G56="","",$G56&amp;IF($H56="",""," / "&amp;$H56)&amp;IF($I56="",""," / "&amp;$I56))</f>
        <v/>
      </c>
    </row>
    <row r="57">
      <c r="A57" s="18" t="n"/>
      <c r="B57" s="18" t="n"/>
      <c r="C57" s="18" t="n"/>
      <c r="D57" s="30" t="n"/>
      <c r="E57" s="18" t="n"/>
      <c r="F57" s="5" t="n"/>
      <c r="G57" s="18" t="n"/>
      <c r="H57" s="30" t="n"/>
      <c r="I57" s="18" t="n"/>
      <c r="J57" s="5" t="n"/>
      <c r="K57">
        <f>IF($A57="","",$A57&amp;"|"&amp;COUNTIF($A$2:$A57,$A57))</f>
        <v/>
      </c>
      <c r="L57">
        <f>IF($G57="","",$G57&amp;IF($H57="",""," / "&amp;$H57)&amp;IF($I57="",""," / "&amp;$I57))</f>
        <v/>
      </c>
    </row>
    <row r="58">
      <c r="A58" s="18" t="n"/>
      <c r="B58" s="18" t="n"/>
      <c r="C58" s="18" t="n"/>
      <c r="D58" s="30" t="n"/>
      <c r="E58" s="18" t="n"/>
      <c r="F58" s="5" t="n"/>
      <c r="G58" s="18" t="n"/>
      <c r="H58" s="30" t="n"/>
      <c r="I58" s="18" t="n"/>
      <c r="J58" s="5" t="n"/>
      <c r="K58">
        <f>IF($A58="","",$A58&amp;"|"&amp;COUNTIF($A$2:$A58,$A58))</f>
        <v/>
      </c>
      <c r="L58">
        <f>IF($G58="","",$G58&amp;IF($H58="",""," / "&amp;$H58)&amp;IF($I58="",""," / "&amp;$I58))</f>
        <v/>
      </c>
    </row>
    <row r="59">
      <c r="A59" s="18" t="n"/>
      <c r="B59" s="18" t="n"/>
      <c r="C59" s="18" t="n"/>
      <c r="D59" s="30" t="n"/>
      <c r="E59" s="18" t="n"/>
      <c r="F59" s="5" t="n"/>
      <c r="G59" s="18" t="n"/>
      <c r="H59" s="30" t="n"/>
      <c r="I59" s="18" t="n"/>
      <c r="J59" s="5" t="n"/>
      <c r="K59">
        <f>IF($A59="","",$A59&amp;"|"&amp;COUNTIF($A$2:$A59,$A59))</f>
        <v/>
      </c>
      <c r="L59">
        <f>IF($G59="","",$G59&amp;IF($H59="",""," / "&amp;$H59)&amp;IF($I59="",""," / "&amp;$I59))</f>
        <v/>
      </c>
    </row>
    <row r="60">
      <c r="A60" s="18" t="n"/>
      <c r="B60" s="18" t="n"/>
      <c r="C60" s="18" t="n"/>
      <c r="D60" s="30" t="n"/>
      <c r="E60" s="18" t="n"/>
      <c r="F60" s="5" t="n"/>
      <c r="G60" s="18" t="n"/>
      <c r="H60" s="30" t="n"/>
      <c r="I60" s="18" t="n"/>
      <c r="J60" s="5" t="n"/>
      <c r="K60">
        <f>IF($A60="","",$A60&amp;"|"&amp;COUNTIF($A$2:$A60,$A60))</f>
        <v/>
      </c>
      <c r="L60">
        <f>IF($G60="","",$G60&amp;IF($H60="",""," / "&amp;$H60)&amp;IF($I60="",""," / "&amp;$I60))</f>
        <v/>
      </c>
    </row>
    <row r="61">
      <c r="A61" s="18" t="n"/>
      <c r="B61" s="18" t="n"/>
      <c r="C61" s="18" t="n"/>
      <c r="D61" s="30" t="n"/>
      <c r="E61" s="18" t="n"/>
      <c r="F61" s="5" t="n"/>
      <c r="G61" s="18" t="n"/>
      <c r="H61" s="30" t="n"/>
      <c r="I61" s="18" t="n"/>
      <c r="J61" s="5" t="n"/>
      <c r="K61">
        <f>IF($A61="","",$A61&amp;"|"&amp;COUNTIF($A$2:$A61,$A61))</f>
        <v/>
      </c>
      <c r="L61">
        <f>IF($G61="","",$G61&amp;IF($H61="",""," / "&amp;$H61)&amp;IF($I61="",""," / "&amp;$I61))</f>
        <v/>
      </c>
    </row>
    <row r="62">
      <c r="A62" s="18" t="n"/>
      <c r="B62" s="18" t="n"/>
      <c r="C62" s="18" t="n"/>
      <c r="D62" s="30" t="n"/>
      <c r="E62" s="18" t="n"/>
      <c r="F62" s="5" t="n"/>
      <c r="G62" s="18" t="n"/>
      <c r="H62" s="30" t="n"/>
      <c r="I62" s="18" t="n"/>
      <c r="J62" s="5" t="n"/>
      <c r="K62">
        <f>IF($A62="","",$A62&amp;"|"&amp;COUNTIF($A$2:$A62,$A62))</f>
        <v/>
      </c>
      <c r="L62">
        <f>IF($G62="","",$G62&amp;IF($H62="",""," / "&amp;$H62)&amp;IF($I62="",""," / "&amp;$I62))</f>
        <v/>
      </c>
    </row>
    <row r="63">
      <c r="A63" s="18" t="n"/>
      <c r="B63" s="18" t="n"/>
      <c r="C63" s="18" t="n"/>
      <c r="D63" s="30" t="n"/>
      <c r="E63" s="18" t="n"/>
      <c r="F63" s="5" t="n"/>
      <c r="G63" s="18" t="n"/>
      <c r="H63" s="30" t="n"/>
      <c r="I63" s="18" t="n"/>
      <c r="J63" s="5" t="n"/>
      <c r="K63">
        <f>IF($A63="","",$A63&amp;"|"&amp;COUNTIF($A$2:$A63,$A63))</f>
        <v/>
      </c>
      <c r="L63">
        <f>IF($G63="","",$G63&amp;IF($H63="",""," / "&amp;$H63)&amp;IF($I63="",""," / "&amp;$I63))</f>
        <v/>
      </c>
    </row>
    <row r="64">
      <c r="A64" s="18" t="n"/>
      <c r="B64" s="18" t="n"/>
      <c r="C64" s="18" t="n"/>
      <c r="D64" s="30" t="n"/>
      <c r="E64" s="18" t="n"/>
      <c r="F64" s="5" t="n"/>
      <c r="G64" s="18" t="n"/>
      <c r="H64" s="30" t="n"/>
      <c r="I64" s="18" t="n"/>
      <c r="J64" s="5" t="n"/>
      <c r="K64">
        <f>IF($A64="","",$A64&amp;"|"&amp;COUNTIF($A$2:$A64,$A64))</f>
        <v/>
      </c>
      <c r="L64">
        <f>IF($G64="","",$G64&amp;IF($H64="",""," / "&amp;$H64)&amp;IF($I64="",""," / "&amp;$I64))</f>
        <v/>
      </c>
    </row>
    <row r="65">
      <c r="A65" s="18" t="n"/>
      <c r="B65" s="18" t="n"/>
      <c r="C65" s="18" t="n"/>
      <c r="D65" s="30" t="n"/>
      <c r="E65" s="18" t="n"/>
      <c r="F65" s="5" t="n"/>
      <c r="G65" s="18" t="n"/>
      <c r="H65" s="30" t="n"/>
      <c r="I65" s="18" t="n"/>
      <c r="J65" s="5" t="n"/>
      <c r="K65">
        <f>IF($A65="","",$A65&amp;"|"&amp;COUNTIF($A$2:$A65,$A65))</f>
        <v/>
      </c>
      <c r="L65">
        <f>IF($G65="","",$G65&amp;IF($H65="",""," / "&amp;$H65)&amp;IF($I65="",""," / "&amp;$I65))</f>
        <v/>
      </c>
    </row>
    <row r="66">
      <c r="A66" s="18" t="n"/>
      <c r="B66" s="18" t="n"/>
      <c r="C66" s="18" t="n"/>
      <c r="D66" s="30" t="n"/>
      <c r="E66" s="18" t="n"/>
      <c r="F66" s="5" t="n"/>
      <c r="G66" s="18" t="n"/>
      <c r="H66" s="30" t="n"/>
      <c r="I66" s="18" t="n"/>
      <c r="J66" s="5" t="n"/>
      <c r="K66">
        <f>IF($A66="","",$A66&amp;"|"&amp;COUNTIF($A$2:$A66,$A66))</f>
        <v/>
      </c>
      <c r="L66">
        <f>IF($G66="","",$G66&amp;IF($H66="",""," / "&amp;$H66)&amp;IF($I66="",""," / "&amp;$I66))</f>
        <v/>
      </c>
    </row>
    <row r="67">
      <c r="A67" s="18" t="n"/>
      <c r="B67" s="18" t="n"/>
      <c r="C67" s="18" t="n"/>
      <c r="D67" s="30" t="n"/>
      <c r="E67" s="18" t="n"/>
      <c r="F67" s="5" t="n"/>
      <c r="G67" s="18" t="n"/>
      <c r="H67" s="30" t="n"/>
      <c r="I67" s="18" t="n"/>
      <c r="J67" s="5" t="n"/>
      <c r="K67">
        <f>IF($A67="","",$A67&amp;"|"&amp;COUNTIF($A$2:$A67,$A67))</f>
        <v/>
      </c>
      <c r="L67">
        <f>IF($G67="","",$G67&amp;IF($H67="",""," / "&amp;$H67)&amp;IF($I67="",""," / "&amp;$I67))</f>
        <v/>
      </c>
    </row>
    <row r="68">
      <c r="A68" s="18" t="n"/>
      <c r="B68" s="18" t="n"/>
      <c r="C68" s="18" t="n"/>
      <c r="D68" s="30" t="n"/>
      <c r="E68" s="18" t="n"/>
      <c r="F68" s="5" t="n"/>
      <c r="G68" s="18" t="n"/>
      <c r="H68" s="30" t="n"/>
      <c r="I68" s="18" t="n"/>
      <c r="J68" s="5" t="n"/>
      <c r="K68">
        <f>IF($A68="","",$A68&amp;"|"&amp;COUNTIF($A$2:$A68,$A68))</f>
        <v/>
      </c>
      <c r="L68">
        <f>IF($G68="","",$G68&amp;IF($H68="",""," / "&amp;$H68)&amp;IF($I68="",""," / "&amp;$I68))</f>
        <v/>
      </c>
    </row>
    <row r="69">
      <c r="A69" s="18" t="n"/>
      <c r="B69" s="18" t="n"/>
      <c r="C69" s="18" t="n"/>
      <c r="D69" s="30" t="n"/>
      <c r="E69" s="18" t="n"/>
      <c r="F69" s="5" t="n"/>
      <c r="G69" s="18" t="n"/>
      <c r="H69" s="30" t="n"/>
      <c r="I69" s="18" t="n"/>
      <c r="J69" s="5" t="n"/>
      <c r="K69">
        <f>IF($A69="","",$A69&amp;"|"&amp;COUNTIF($A$2:$A69,$A69))</f>
        <v/>
      </c>
      <c r="L69">
        <f>IF($G69="","",$G69&amp;IF($H69="",""," / "&amp;$H69)&amp;IF($I69="",""," / "&amp;$I69))</f>
        <v/>
      </c>
    </row>
    <row r="70">
      <c r="A70" s="18" t="n"/>
      <c r="B70" s="18" t="n"/>
      <c r="C70" s="18" t="n"/>
      <c r="D70" s="30" t="n"/>
      <c r="E70" s="18" t="n"/>
      <c r="F70" s="5" t="n"/>
      <c r="G70" s="18" t="n"/>
      <c r="H70" s="30" t="n"/>
      <c r="I70" s="18" t="n"/>
      <c r="J70" s="5" t="n"/>
      <c r="K70">
        <f>IF($A70="","",$A70&amp;"|"&amp;COUNTIF($A$2:$A70,$A70))</f>
        <v/>
      </c>
      <c r="L70">
        <f>IF($G70="","",$G70&amp;IF($H70="",""," / "&amp;$H70)&amp;IF($I70="",""," / "&amp;$I70))</f>
        <v/>
      </c>
    </row>
    <row r="71">
      <c r="A71" s="18" t="n"/>
      <c r="B71" s="18" t="n"/>
      <c r="C71" s="18" t="n"/>
      <c r="D71" s="30" t="n"/>
      <c r="E71" s="18" t="n"/>
      <c r="F71" s="5" t="n"/>
      <c r="G71" s="18" t="n"/>
      <c r="H71" s="30" t="n"/>
      <c r="I71" s="18" t="n"/>
      <c r="J71" s="5" t="n"/>
      <c r="K71">
        <f>IF($A71="","",$A71&amp;"|"&amp;COUNTIF($A$2:$A71,$A71))</f>
        <v/>
      </c>
      <c r="L71">
        <f>IF($G71="","",$G71&amp;IF($H71="",""," / "&amp;$H71)&amp;IF($I71="",""," / "&amp;$I71))</f>
        <v/>
      </c>
    </row>
    <row r="72">
      <c r="A72" s="18" t="n"/>
      <c r="B72" s="18" t="n"/>
      <c r="C72" s="18" t="n"/>
      <c r="D72" s="30" t="n"/>
      <c r="E72" s="18" t="n"/>
      <c r="F72" s="5" t="n"/>
      <c r="G72" s="18" t="n"/>
      <c r="H72" s="30" t="n"/>
      <c r="I72" s="18" t="n"/>
      <c r="J72" s="5" t="n"/>
      <c r="K72">
        <f>IF($A72="","",$A72&amp;"|"&amp;COUNTIF($A$2:$A72,$A72))</f>
        <v/>
      </c>
      <c r="L72">
        <f>IF($G72="","",$G72&amp;IF($H72="",""," / "&amp;$H72)&amp;IF($I72="",""," / "&amp;$I72))</f>
        <v/>
      </c>
    </row>
    <row r="73">
      <c r="A73" s="18" t="n"/>
      <c r="B73" s="18" t="n"/>
      <c r="C73" s="18" t="n"/>
      <c r="D73" s="30" t="n"/>
      <c r="E73" s="18" t="n"/>
      <c r="F73" s="5" t="n"/>
      <c r="G73" s="18" t="n"/>
      <c r="H73" s="30" t="n"/>
      <c r="I73" s="18" t="n"/>
      <c r="J73" s="5" t="n"/>
      <c r="K73">
        <f>IF($A73="","",$A73&amp;"|"&amp;COUNTIF($A$2:$A73,$A73))</f>
        <v/>
      </c>
      <c r="L73">
        <f>IF($G73="","",$G73&amp;IF($H73="",""," / "&amp;$H73)&amp;IF($I73="",""," / "&amp;$I73))</f>
        <v/>
      </c>
    </row>
    <row r="74">
      <c r="A74" s="18" t="n"/>
      <c r="B74" s="18" t="n"/>
      <c r="C74" s="18" t="n"/>
      <c r="D74" s="30" t="n"/>
      <c r="E74" s="18" t="n"/>
      <c r="F74" s="5" t="n"/>
      <c r="G74" s="18" t="n"/>
      <c r="H74" s="30" t="n"/>
      <c r="I74" s="18" t="n"/>
      <c r="J74" s="5" t="n"/>
      <c r="K74">
        <f>IF($A74="","",$A74&amp;"|"&amp;COUNTIF($A$2:$A74,$A74))</f>
        <v/>
      </c>
      <c r="L74">
        <f>IF($G74="","",$G74&amp;IF($H74="",""," / "&amp;$H74)&amp;IF($I74="",""," / "&amp;$I74))</f>
        <v/>
      </c>
    </row>
    <row r="75">
      <c r="A75" s="18" t="n"/>
      <c r="B75" s="18" t="n"/>
      <c r="C75" s="18" t="n"/>
      <c r="D75" s="30" t="n"/>
      <c r="E75" s="18" t="n"/>
      <c r="F75" s="5" t="n"/>
      <c r="G75" s="18" t="n"/>
      <c r="H75" s="30" t="n"/>
      <c r="I75" s="18" t="n"/>
      <c r="J75" s="5" t="n"/>
      <c r="K75">
        <f>IF($A75="","",$A75&amp;"|"&amp;COUNTIF($A$2:$A75,$A75))</f>
        <v/>
      </c>
      <c r="L75">
        <f>IF($G75="","",$G75&amp;IF($H75="",""," / "&amp;$H75)&amp;IF($I75="",""," / "&amp;$I75))</f>
        <v/>
      </c>
    </row>
    <row r="76">
      <c r="A76" s="18" t="n"/>
      <c r="B76" s="18" t="n"/>
      <c r="C76" s="18" t="n"/>
      <c r="D76" s="30" t="n"/>
      <c r="E76" s="18" t="n"/>
      <c r="F76" s="5" t="n"/>
      <c r="G76" s="18" t="n"/>
      <c r="H76" s="30" t="n"/>
      <c r="I76" s="18" t="n"/>
      <c r="J76" s="5" t="n"/>
      <c r="K76">
        <f>IF($A76="","",$A76&amp;"|"&amp;COUNTIF($A$2:$A76,$A76))</f>
        <v/>
      </c>
      <c r="L76">
        <f>IF($G76="","",$G76&amp;IF($H76="",""," / "&amp;$H76)&amp;IF($I76="",""," / "&amp;$I76))</f>
        <v/>
      </c>
    </row>
    <row r="77">
      <c r="A77" s="18" t="n"/>
      <c r="B77" s="18" t="n"/>
      <c r="C77" s="18" t="n"/>
      <c r="D77" s="30" t="n"/>
      <c r="E77" s="18" t="n"/>
      <c r="F77" s="5" t="n"/>
      <c r="G77" s="18" t="n"/>
      <c r="H77" s="30" t="n"/>
      <c r="I77" s="18" t="n"/>
      <c r="J77" s="5" t="n"/>
      <c r="K77">
        <f>IF($A77="","",$A77&amp;"|"&amp;COUNTIF($A$2:$A77,$A77))</f>
        <v/>
      </c>
      <c r="L77">
        <f>IF($G77="","",$G77&amp;IF($H77="",""," / "&amp;$H77)&amp;IF($I77="",""," / "&amp;$I77))</f>
        <v/>
      </c>
    </row>
    <row r="78">
      <c r="A78" s="18" t="n"/>
      <c r="B78" s="18" t="n"/>
      <c r="C78" s="18" t="n"/>
      <c r="D78" s="30" t="n"/>
      <c r="E78" s="18" t="n"/>
      <c r="F78" s="5" t="n"/>
      <c r="G78" s="18" t="n"/>
      <c r="H78" s="30" t="n"/>
      <c r="I78" s="18" t="n"/>
      <c r="J78" s="5" t="n"/>
      <c r="K78">
        <f>IF($A78="","",$A78&amp;"|"&amp;COUNTIF($A$2:$A78,$A78))</f>
        <v/>
      </c>
      <c r="L78">
        <f>IF($G78="","",$G78&amp;IF($H78="",""," / "&amp;$H78)&amp;IF($I78="",""," / "&amp;$I78))</f>
        <v/>
      </c>
    </row>
    <row r="79">
      <c r="A79" s="18" t="n"/>
      <c r="B79" s="18" t="n"/>
      <c r="C79" s="18" t="n"/>
      <c r="D79" s="30" t="n"/>
      <c r="E79" s="18" t="n"/>
      <c r="F79" s="5" t="n"/>
      <c r="G79" s="18" t="n"/>
      <c r="H79" s="30" t="n"/>
      <c r="I79" s="18" t="n"/>
      <c r="J79" s="5" t="n"/>
      <c r="K79">
        <f>IF($A79="","",$A79&amp;"|"&amp;COUNTIF($A$2:$A79,$A79))</f>
        <v/>
      </c>
      <c r="L79">
        <f>IF($G79="","",$G79&amp;IF($H79="",""," / "&amp;$H79)&amp;IF($I79="",""," / "&amp;$I79))</f>
        <v/>
      </c>
    </row>
    <row r="80">
      <c r="A80" s="18" t="n"/>
      <c r="B80" s="18" t="n"/>
      <c r="C80" s="18" t="n"/>
      <c r="D80" s="30" t="n"/>
      <c r="E80" s="18" t="n"/>
      <c r="F80" s="5" t="n"/>
      <c r="G80" s="18" t="n"/>
      <c r="H80" s="30" t="n"/>
      <c r="I80" s="18" t="n"/>
      <c r="J80" s="5" t="n"/>
      <c r="K80">
        <f>IF($A80="","",$A80&amp;"|"&amp;COUNTIF($A$2:$A80,$A80))</f>
        <v/>
      </c>
      <c r="L80">
        <f>IF($G80="","",$G80&amp;IF($H80="",""," / "&amp;$H80)&amp;IF($I80="",""," / "&amp;$I80))</f>
        <v/>
      </c>
    </row>
    <row r="81">
      <c r="A81" s="18" t="n"/>
      <c r="B81" s="18" t="n"/>
      <c r="C81" s="18" t="n"/>
      <c r="D81" s="30" t="n"/>
      <c r="E81" s="18" t="n"/>
      <c r="F81" s="5" t="n"/>
      <c r="G81" s="18" t="n"/>
      <c r="H81" s="30" t="n"/>
      <c r="I81" s="18" t="n"/>
      <c r="J81" s="5" t="n"/>
      <c r="K81">
        <f>IF($A81="","",$A81&amp;"|"&amp;COUNTIF($A$2:$A81,$A81))</f>
        <v/>
      </c>
      <c r="L81">
        <f>IF($G81="","",$G81&amp;IF($H81="",""," / "&amp;$H81)&amp;IF($I81="",""," / "&amp;$I81))</f>
        <v/>
      </c>
    </row>
    <row r="82">
      <c r="A82" s="18" t="n"/>
      <c r="B82" s="18" t="n"/>
      <c r="C82" s="18" t="n"/>
      <c r="D82" s="30" t="n"/>
      <c r="E82" s="18" t="n"/>
      <c r="F82" s="5" t="n"/>
      <c r="G82" s="18" t="n"/>
      <c r="H82" s="30" t="n"/>
      <c r="I82" s="18" t="n"/>
      <c r="J82" s="5" t="n"/>
      <c r="K82">
        <f>IF($A82="","",$A82&amp;"|"&amp;COUNTIF($A$2:$A82,$A82))</f>
        <v/>
      </c>
      <c r="L82">
        <f>IF($G82="","",$G82&amp;IF($H82="",""," / "&amp;$H82)&amp;IF($I82="",""," / "&amp;$I82))</f>
        <v/>
      </c>
    </row>
    <row r="83">
      <c r="A83" s="18" t="n"/>
      <c r="B83" s="18" t="n"/>
      <c r="C83" s="18" t="n"/>
      <c r="D83" s="30" t="n"/>
      <c r="E83" s="18" t="n"/>
      <c r="F83" s="5" t="n"/>
      <c r="G83" s="18" t="n"/>
      <c r="H83" s="30" t="n"/>
      <c r="I83" s="18" t="n"/>
      <c r="J83" s="5" t="n"/>
      <c r="K83">
        <f>IF($A83="","",$A83&amp;"|"&amp;COUNTIF($A$2:$A83,$A83))</f>
        <v/>
      </c>
      <c r="L83">
        <f>IF($G83="","",$G83&amp;IF($H83="",""," / "&amp;$H83)&amp;IF($I83="",""," / "&amp;$I83))</f>
        <v/>
      </c>
    </row>
    <row r="84">
      <c r="A84" s="18" t="n"/>
      <c r="B84" s="18" t="n"/>
      <c r="C84" s="18" t="n"/>
      <c r="D84" s="30" t="n"/>
      <c r="E84" s="18" t="n"/>
      <c r="F84" s="5" t="n"/>
      <c r="G84" s="18" t="n"/>
      <c r="H84" s="30" t="n"/>
      <c r="I84" s="18" t="n"/>
      <c r="J84" s="5" t="n"/>
      <c r="K84">
        <f>IF($A84="","",$A84&amp;"|"&amp;COUNTIF($A$2:$A84,$A84))</f>
        <v/>
      </c>
      <c r="L84">
        <f>IF($G84="","",$G84&amp;IF($H84="",""," / "&amp;$H84)&amp;IF($I84="",""," / "&amp;$I84))</f>
        <v/>
      </c>
    </row>
    <row r="85">
      <c r="A85" s="18" t="n"/>
      <c r="B85" s="18" t="n"/>
      <c r="C85" s="18" t="n"/>
      <c r="D85" s="30" t="n"/>
      <c r="E85" s="18" t="n"/>
      <c r="F85" s="5" t="n"/>
      <c r="G85" s="18" t="n"/>
      <c r="H85" s="30" t="n"/>
      <c r="I85" s="18" t="n"/>
      <c r="J85" s="5" t="n"/>
      <c r="K85">
        <f>IF($A85="","",$A85&amp;"|"&amp;COUNTIF($A$2:$A85,$A85))</f>
        <v/>
      </c>
      <c r="L85">
        <f>IF($G85="","",$G85&amp;IF($H85="",""," / "&amp;$H85)&amp;IF($I85="",""," / "&amp;$I85))</f>
        <v/>
      </c>
    </row>
    <row r="86">
      <c r="A86" s="18" t="n"/>
      <c r="B86" s="18" t="n"/>
      <c r="C86" s="18" t="n"/>
      <c r="D86" s="30" t="n"/>
      <c r="E86" s="18" t="n"/>
      <c r="F86" s="5" t="n"/>
      <c r="G86" s="18" t="n"/>
      <c r="H86" s="30" t="n"/>
      <c r="I86" s="18" t="n"/>
      <c r="J86" s="5" t="n"/>
      <c r="K86">
        <f>IF($A86="","",$A86&amp;"|"&amp;COUNTIF($A$2:$A86,$A86))</f>
        <v/>
      </c>
      <c r="L86">
        <f>IF($G86="","",$G86&amp;IF($H86="",""," / "&amp;$H86)&amp;IF($I86="",""," / "&amp;$I86))</f>
        <v/>
      </c>
    </row>
    <row r="87">
      <c r="A87" s="18" t="n"/>
      <c r="B87" s="18" t="n"/>
      <c r="C87" s="18" t="n"/>
      <c r="D87" s="30" t="n"/>
      <c r="E87" s="18" t="n"/>
      <c r="F87" s="5" t="n"/>
      <c r="G87" s="18" t="n"/>
      <c r="H87" s="30" t="n"/>
      <c r="I87" s="18" t="n"/>
      <c r="J87" s="5" t="n"/>
      <c r="K87">
        <f>IF($A87="","",$A87&amp;"|"&amp;COUNTIF($A$2:$A87,$A87))</f>
        <v/>
      </c>
      <c r="L87">
        <f>IF($G87="","",$G87&amp;IF($H87="",""," / "&amp;$H87)&amp;IF($I87="",""," / "&amp;$I87))</f>
        <v/>
      </c>
    </row>
    <row r="88">
      <c r="A88" s="18" t="n"/>
      <c r="B88" s="18" t="n"/>
      <c r="C88" s="18" t="n"/>
      <c r="D88" s="30" t="n"/>
      <c r="E88" s="18" t="n"/>
      <c r="F88" s="5" t="n"/>
      <c r="G88" s="18" t="n"/>
      <c r="H88" s="30" t="n"/>
      <c r="I88" s="18" t="n"/>
      <c r="J88" s="5" t="n"/>
      <c r="K88">
        <f>IF($A88="","",$A88&amp;"|"&amp;COUNTIF($A$2:$A88,$A88))</f>
        <v/>
      </c>
      <c r="L88">
        <f>IF($G88="","",$G88&amp;IF($H88="",""," / "&amp;$H88)&amp;IF($I88="",""," / "&amp;$I88))</f>
        <v/>
      </c>
    </row>
    <row r="89">
      <c r="A89" s="18" t="n"/>
      <c r="B89" s="18" t="n"/>
      <c r="C89" s="18" t="n"/>
      <c r="D89" s="30" t="n"/>
      <c r="E89" s="18" t="n"/>
      <c r="F89" s="5" t="n"/>
      <c r="G89" s="18" t="n"/>
      <c r="H89" s="30" t="n"/>
      <c r="I89" s="18" t="n"/>
      <c r="J89" s="5" t="n"/>
      <c r="K89">
        <f>IF($A89="","",$A89&amp;"|"&amp;COUNTIF($A$2:$A89,$A89))</f>
        <v/>
      </c>
      <c r="L89">
        <f>IF($G89="","",$G89&amp;IF($H89="",""," / "&amp;$H89)&amp;IF($I89="",""," / "&amp;$I89))</f>
        <v/>
      </c>
    </row>
    <row r="90">
      <c r="A90" s="18" t="n"/>
      <c r="B90" s="18" t="n"/>
      <c r="C90" s="18" t="n"/>
      <c r="D90" s="30" t="n"/>
      <c r="E90" s="18" t="n"/>
      <c r="F90" s="5" t="n"/>
      <c r="G90" s="18" t="n"/>
      <c r="H90" s="30" t="n"/>
      <c r="I90" s="18" t="n"/>
      <c r="J90" s="5" t="n"/>
      <c r="K90">
        <f>IF($A90="","",$A90&amp;"|"&amp;COUNTIF($A$2:$A90,$A90))</f>
        <v/>
      </c>
      <c r="L90">
        <f>IF($G90="","",$G90&amp;IF($H90="",""," / "&amp;$H90)&amp;IF($I90="",""," / "&amp;$I90))</f>
        <v/>
      </c>
    </row>
    <row r="91">
      <c r="A91" s="18" t="n"/>
      <c r="B91" s="18" t="n"/>
      <c r="C91" s="18" t="n"/>
      <c r="D91" s="30" t="n"/>
      <c r="E91" s="18" t="n"/>
      <c r="F91" s="5" t="n"/>
      <c r="G91" s="18" t="n"/>
      <c r="H91" s="30" t="n"/>
      <c r="I91" s="18" t="n"/>
      <c r="J91" s="5" t="n"/>
      <c r="K91">
        <f>IF($A91="","",$A91&amp;"|"&amp;COUNTIF($A$2:$A91,$A91))</f>
        <v/>
      </c>
      <c r="L91">
        <f>IF($G91="","",$G91&amp;IF($H91="",""," / "&amp;$H91)&amp;IF($I91="",""," / "&amp;$I91))</f>
        <v/>
      </c>
    </row>
    <row r="92">
      <c r="A92" s="18" t="n"/>
      <c r="B92" s="18" t="n"/>
      <c r="C92" s="18" t="n"/>
      <c r="D92" s="30" t="n"/>
      <c r="E92" s="18" t="n"/>
      <c r="F92" s="5" t="n"/>
      <c r="G92" s="18" t="n"/>
      <c r="H92" s="30" t="n"/>
      <c r="I92" s="18" t="n"/>
      <c r="J92" s="5" t="n"/>
      <c r="K92">
        <f>IF($A92="","",$A92&amp;"|"&amp;COUNTIF($A$2:$A92,$A92))</f>
        <v/>
      </c>
      <c r="L92">
        <f>IF($G92="","",$G92&amp;IF($H92="",""," / "&amp;$H92)&amp;IF($I92="",""," / "&amp;$I92))</f>
        <v/>
      </c>
    </row>
    <row r="93">
      <c r="A93" s="18" t="n"/>
      <c r="B93" s="18" t="n"/>
      <c r="C93" s="18" t="n"/>
      <c r="D93" s="30" t="n"/>
      <c r="E93" s="18" t="n"/>
      <c r="F93" s="5" t="n"/>
      <c r="G93" s="18" t="n"/>
      <c r="H93" s="30" t="n"/>
      <c r="I93" s="18" t="n"/>
      <c r="J93" s="5" t="n"/>
      <c r="K93">
        <f>IF($A93="","",$A93&amp;"|"&amp;COUNTIF($A$2:$A93,$A93))</f>
        <v/>
      </c>
      <c r="L93">
        <f>IF($G93="","",$G93&amp;IF($H93="",""," / "&amp;$H93)&amp;IF($I93="",""," / "&amp;$I93))</f>
        <v/>
      </c>
    </row>
    <row r="94">
      <c r="A94" s="18" t="n"/>
      <c r="B94" s="18" t="n"/>
      <c r="C94" s="18" t="n"/>
      <c r="D94" s="30" t="n"/>
      <c r="E94" s="18" t="n"/>
      <c r="F94" s="5" t="n"/>
      <c r="G94" s="18" t="n"/>
      <c r="H94" s="30" t="n"/>
      <c r="I94" s="18" t="n"/>
      <c r="J94" s="5" t="n"/>
      <c r="K94">
        <f>IF($A94="","",$A94&amp;"|"&amp;COUNTIF($A$2:$A94,$A94))</f>
        <v/>
      </c>
      <c r="L94">
        <f>IF($G94="","",$G94&amp;IF($H94="",""," / "&amp;$H94)&amp;IF($I94="",""," / "&amp;$I94))</f>
        <v/>
      </c>
    </row>
    <row r="95">
      <c r="A95" s="18" t="n"/>
      <c r="B95" s="18" t="n"/>
      <c r="C95" s="18" t="n"/>
      <c r="D95" s="30" t="n"/>
      <c r="E95" s="18" t="n"/>
      <c r="F95" s="5" t="n"/>
      <c r="G95" s="18" t="n"/>
      <c r="H95" s="30" t="n"/>
      <c r="I95" s="18" t="n"/>
      <c r="J95" s="5" t="n"/>
      <c r="K95">
        <f>IF($A95="","",$A95&amp;"|"&amp;COUNTIF($A$2:$A95,$A95))</f>
        <v/>
      </c>
      <c r="L95">
        <f>IF($G95="","",$G95&amp;IF($H95="",""," / "&amp;$H95)&amp;IF($I95="",""," / "&amp;$I95))</f>
        <v/>
      </c>
    </row>
    <row r="96">
      <c r="A96" s="18" t="n"/>
      <c r="B96" s="18" t="n"/>
      <c r="C96" s="18" t="n"/>
      <c r="D96" s="30" t="n"/>
      <c r="E96" s="18" t="n"/>
      <c r="F96" s="5" t="n"/>
      <c r="G96" s="18" t="n"/>
      <c r="H96" s="30" t="n"/>
      <c r="I96" s="18" t="n"/>
      <c r="J96" s="5" t="n"/>
      <c r="K96">
        <f>IF($A96="","",$A96&amp;"|"&amp;COUNTIF($A$2:$A96,$A96))</f>
        <v/>
      </c>
      <c r="L96">
        <f>IF($G96="","",$G96&amp;IF($H96="",""," / "&amp;$H96)&amp;IF($I96="",""," / "&amp;$I96))</f>
        <v/>
      </c>
    </row>
    <row r="97">
      <c r="A97" s="18" t="n"/>
      <c r="B97" s="18" t="n"/>
      <c r="C97" s="18" t="n"/>
      <c r="D97" s="30" t="n"/>
      <c r="E97" s="18" t="n"/>
      <c r="F97" s="5" t="n"/>
      <c r="G97" s="18" t="n"/>
      <c r="H97" s="30" t="n"/>
      <c r="I97" s="18" t="n"/>
      <c r="J97" s="5" t="n"/>
      <c r="K97">
        <f>IF($A97="","",$A97&amp;"|"&amp;COUNTIF($A$2:$A97,$A97))</f>
        <v/>
      </c>
      <c r="L97">
        <f>IF($G97="","",$G97&amp;IF($H97="",""," / "&amp;$H97)&amp;IF($I97="",""," / "&amp;$I97))</f>
        <v/>
      </c>
    </row>
    <row r="98">
      <c r="A98" s="18" t="n"/>
      <c r="B98" s="18" t="n"/>
      <c r="C98" s="18" t="n"/>
      <c r="D98" s="30" t="n"/>
      <c r="E98" s="18" t="n"/>
      <c r="F98" s="5" t="n"/>
      <c r="G98" s="18" t="n"/>
      <c r="H98" s="30" t="n"/>
      <c r="I98" s="18" t="n"/>
      <c r="J98" s="5" t="n"/>
      <c r="K98">
        <f>IF($A98="","",$A98&amp;"|"&amp;COUNTIF($A$2:$A98,$A98))</f>
        <v/>
      </c>
      <c r="L98">
        <f>IF($G98="","",$G98&amp;IF($H98="",""," / "&amp;$H98)&amp;IF($I98="",""," / "&amp;$I98))</f>
        <v/>
      </c>
    </row>
    <row r="99">
      <c r="A99" s="18" t="n"/>
      <c r="B99" s="18" t="n"/>
      <c r="C99" s="18" t="n"/>
      <c r="D99" s="30" t="n"/>
      <c r="E99" s="18" t="n"/>
      <c r="F99" s="5" t="n"/>
      <c r="G99" s="18" t="n"/>
      <c r="H99" s="30" t="n"/>
      <c r="I99" s="18" t="n"/>
      <c r="J99" s="5" t="n"/>
      <c r="K99">
        <f>IF($A99="","",$A99&amp;"|"&amp;COUNTIF($A$2:$A99,$A99))</f>
        <v/>
      </c>
      <c r="L99">
        <f>IF($G99="","",$G99&amp;IF($H99="",""," / "&amp;$H99)&amp;IF($I99="",""," / "&amp;$I99))</f>
        <v/>
      </c>
    </row>
    <row r="100">
      <c r="A100" s="18" t="n"/>
      <c r="B100" s="18" t="n"/>
      <c r="C100" s="18" t="n"/>
      <c r="D100" s="30" t="n"/>
      <c r="E100" s="18" t="n"/>
      <c r="F100" s="5" t="n"/>
      <c r="G100" s="18" t="n"/>
      <c r="H100" s="30" t="n"/>
      <c r="I100" s="18" t="n"/>
      <c r="J100" s="5" t="n"/>
      <c r="K100">
        <f>IF($A100="","",$A100&amp;"|"&amp;COUNTIF($A$2:$A100,$A100))</f>
        <v/>
      </c>
      <c r="L100">
        <f>IF($G100="","",$G100&amp;IF($H100="",""," / "&amp;$H100)&amp;IF($I100="",""," / "&amp;$I100))</f>
        <v/>
      </c>
    </row>
    <row r="101">
      <c r="A101" s="18" t="n"/>
      <c r="B101" s="18" t="n"/>
      <c r="C101" s="18" t="n"/>
      <c r="D101" s="30" t="n"/>
      <c r="E101" s="18" t="n"/>
      <c r="F101" s="5" t="n"/>
      <c r="G101" s="18" t="n"/>
      <c r="H101" s="30" t="n"/>
      <c r="I101" s="18" t="n"/>
      <c r="J101" s="5" t="n"/>
      <c r="K101">
        <f>IF($A101="","",$A101&amp;"|"&amp;COUNTIF($A$2:$A101,$A101))</f>
        <v/>
      </c>
      <c r="L101">
        <f>IF($G101="","",$G101&amp;IF($H101="",""," / "&amp;$H101)&amp;IF($I101="",""," / "&amp;$I101))</f>
        <v/>
      </c>
    </row>
    <row r="102">
      <c r="A102" s="18" t="n"/>
      <c r="B102" s="18" t="n"/>
      <c r="C102" s="18" t="n"/>
      <c r="D102" s="30" t="n"/>
      <c r="E102" s="18" t="n"/>
      <c r="F102" s="5" t="n"/>
      <c r="G102" s="18" t="n"/>
      <c r="H102" s="30" t="n"/>
      <c r="I102" s="18" t="n"/>
      <c r="J102" s="5" t="n"/>
      <c r="K102">
        <f>IF($A102="","",$A102&amp;"|"&amp;COUNTIF($A$2:$A102,$A102))</f>
        <v/>
      </c>
      <c r="L102">
        <f>IF($G102="","",$G102&amp;IF($H102="",""," / "&amp;$H102)&amp;IF($I102="",""," / "&amp;$I102))</f>
        <v/>
      </c>
    </row>
    <row r="103">
      <c r="A103" s="18" t="n"/>
      <c r="B103" s="18" t="n"/>
      <c r="C103" s="18" t="n"/>
      <c r="D103" s="30" t="n"/>
      <c r="E103" s="18" t="n"/>
      <c r="F103" s="5" t="n"/>
      <c r="G103" s="18" t="n"/>
      <c r="H103" s="30" t="n"/>
      <c r="I103" s="18" t="n"/>
      <c r="J103" s="5" t="n"/>
      <c r="K103">
        <f>IF($A103="","",$A103&amp;"|"&amp;COUNTIF($A$2:$A103,$A103))</f>
        <v/>
      </c>
      <c r="L103">
        <f>IF($G103="","",$G103&amp;IF($H103="",""," / "&amp;$H103)&amp;IF($I103="",""," / "&amp;$I103))</f>
        <v/>
      </c>
    </row>
    <row r="104">
      <c r="A104" s="18" t="n"/>
      <c r="B104" s="18" t="n"/>
      <c r="C104" s="18" t="n"/>
      <c r="D104" s="30" t="n"/>
      <c r="E104" s="18" t="n"/>
      <c r="F104" s="5" t="n"/>
      <c r="G104" s="18" t="n"/>
      <c r="H104" s="30" t="n"/>
      <c r="I104" s="18" t="n"/>
      <c r="J104" s="5" t="n"/>
      <c r="K104">
        <f>IF($A104="","",$A104&amp;"|"&amp;COUNTIF($A$2:$A104,$A104))</f>
        <v/>
      </c>
      <c r="L104">
        <f>IF($G104="","",$G104&amp;IF($H104="",""," / "&amp;$H104)&amp;IF($I104="",""," / "&amp;$I104))</f>
        <v/>
      </c>
    </row>
    <row r="105">
      <c r="A105" s="18" t="n"/>
      <c r="B105" s="18" t="n"/>
      <c r="C105" s="18" t="n"/>
      <c r="D105" s="30" t="n"/>
      <c r="E105" s="18" t="n"/>
      <c r="F105" s="5" t="n"/>
      <c r="G105" s="18" t="n"/>
      <c r="H105" s="30" t="n"/>
      <c r="I105" s="18" t="n"/>
      <c r="J105" s="5" t="n"/>
      <c r="K105">
        <f>IF($A105="","",$A105&amp;"|"&amp;COUNTIF($A$2:$A105,$A105))</f>
        <v/>
      </c>
      <c r="L105">
        <f>IF($G105="","",$G105&amp;IF($H105="",""," / "&amp;$H105)&amp;IF($I105="",""," / "&amp;$I105))</f>
        <v/>
      </c>
    </row>
    <row r="106">
      <c r="A106" s="18" t="n"/>
      <c r="B106" s="18" t="n"/>
      <c r="C106" s="18" t="n"/>
      <c r="D106" s="30" t="n"/>
      <c r="E106" s="18" t="n"/>
      <c r="F106" s="5" t="n"/>
      <c r="G106" s="18" t="n"/>
      <c r="H106" s="30" t="n"/>
      <c r="I106" s="18" t="n"/>
      <c r="J106" s="5" t="n"/>
      <c r="K106">
        <f>IF($A106="","",$A106&amp;"|"&amp;COUNTIF($A$2:$A106,$A106))</f>
        <v/>
      </c>
      <c r="L106">
        <f>IF($G106="","",$G106&amp;IF($H106="",""," / "&amp;$H106)&amp;IF($I106="",""," / "&amp;$I106))</f>
        <v/>
      </c>
    </row>
    <row r="107">
      <c r="A107" s="18" t="n"/>
      <c r="B107" s="18" t="n"/>
      <c r="C107" s="18" t="n"/>
      <c r="D107" s="30" t="n"/>
      <c r="E107" s="18" t="n"/>
      <c r="F107" s="5" t="n"/>
      <c r="G107" s="18" t="n"/>
      <c r="H107" s="30" t="n"/>
      <c r="I107" s="18" t="n"/>
      <c r="J107" s="5" t="n"/>
      <c r="K107">
        <f>IF($A107="","",$A107&amp;"|"&amp;COUNTIF($A$2:$A107,$A107))</f>
        <v/>
      </c>
      <c r="L107">
        <f>IF($G107="","",$G107&amp;IF($H107="",""," / "&amp;$H107)&amp;IF($I107="",""," / "&amp;$I107))</f>
        <v/>
      </c>
    </row>
    <row r="108">
      <c r="A108" s="18" t="n"/>
      <c r="B108" s="18" t="n"/>
      <c r="C108" s="18" t="n"/>
      <c r="D108" s="30" t="n"/>
      <c r="E108" s="18" t="n"/>
      <c r="F108" s="5" t="n"/>
      <c r="G108" s="18" t="n"/>
      <c r="H108" s="30" t="n"/>
      <c r="I108" s="18" t="n"/>
      <c r="J108" s="5" t="n"/>
      <c r="K108">
        <f>IF($A108="","",$A108&amp;"|"&amp;COUNTIF($A$2:$A108,$A108))</f>
        <v/>
      </c>
      <c r="L108">
        <f>IF($G108="","",$G108&amp;IF($H108="",""," / "&amp;$H108)&amp;IF($I108="",""," / "&amp;$I108))</f>
        <v/>
      </c>
    </row>
    <row r="109">
      <c r="A109" s="18" t="n"/>
      <c r="B109" s="18" t="n"/>
      <c r="C109" s="18" t="n"/>
      <c r="D109" s="30" t="n"/>
      <c r="E109" s="18" t="n"/>
      <c r="F109" s="5" t="n"/>
      <c r="G109" s="18" t="n"/>
      <c r="H109" s="30" t="n"/>
      <c r="I109" s="18" t="n"/>
      <c r="J109" s="5" t="n"/>
      <c r="K109">
        <f>IF($A109="","",$A109&amp;"|"&amp;COUNTIF($A$2:$A109,$A109))</f>
        <v/>
      </c>
      <c r="L109">
        <f>IF($G109="","",$G109&amp;IF($H109="",""," / "&amp;$H109)&amp;IF($I109="",""," / "&amp;$I109))</f>
        <v/>
      </c>
    </row>
    <row r="110">
      <c r="A110" s="18" t="n"/>
      <c r="B110" s="18" t="n"/>
      <c r="C110" s="18" t="n"/>
      <c r="D110" s="30" t="n"/>
      <c r="E110" s="18" t="n"/>
      <c r="F110" s="5" t="n"/>
      <c r="G110" s="18" t="n"/>
      <c r="H110" s="30" t="n"/>
      <c r="I110" s="18" t="n"/>
      <c r="J110" s="5" t="n"/>
      <c r="K110">
        <f>IF($A110="","",$A110&amp;"|"&amp;COUNTIF($A$2:$A110,$A110))</f>
        <v/>
      </c>
      <c r="L110">
        <f>IF($G110="","",$G110&amp;IF($H110="",""," / "&amp;$H110)&amp;IF($I110="",""," / "&amp;$I110))</f>
        <v/>
      </c>
    </row>
    <row r="111">
      <c r="A111" s="18" t="n"/>
      <c r="B111" s="18" t="n"/>
      <c r="C111" s="18" t="n"/>
      <c r="D111" s="30" t="n"/>
      <c r="E111" s="18" t="n"/>
      <c r="F111" s="5" t="n"/>
      <c r="G111" s="18" t="n"/>
      <c r="H111" s="30" t="n"/>
      <c r="I111" s="18" t="n"/>
      <c r="J111" s="5" t="n"/>
      <c r="K111">
        <f>IF($A111="","",$A111&amp;"|"&amp;COUNTIF($A$2:$A111,$A111))</f>
        <v/>
      </c>
      <c r="L111">
        <f>IF($G111="","",$G111&amp;IF($H111="",""," / "&amp;$H111)&amp;IF($I111="",""," / "&amp;$I111))</f>
        <v/>
      </c>
    </row>
    <row r="112">
      <c r="A112" s="18" t="n"/>
      <c r="B112" s="18" t="n"/>
      <c r="C112" s="18" t="n"/>
      <c r="D112" s="30" t="n"/>
      <c r="E112" s="18" t="n"/>
      <c r="F112" s="5" t="n"/>
      <c r="G112" s="18" t="n"/>
      <c r="H112" s="30" t="n"/>
      <c r="I112" s="18" t="n"/>
      <c r="J112" s="5" t="n"/>
      <c r="K112">
        <f>IF($A112="","",$A112&amp;"|"&amp;COUNTIF($A$2:$A112,$A112))</f>
        <v/>
      </c>
      <c r="L112">
        <f>IF($G112="","",$G112&amp;IF($H112="",""," / "&amp;$H112)&amp;IF($I112="",""," / "&amp;$I112))</f>
        <v/>
      </c>
    </row>
    <row r="113">
      <c r="A113" s="18" t="n"/>
      <c r="B113" s="18" t="n"/>
      <c r="C113" s="18" t="n"/>
      <c r="D113" s="30" t="n"/>
      <c r="E113" s="18" t="n"/>
      <c r="F113" s="5" t="n"/>
      <c r="G113" s="18" t="n"/>
      <c r="H113" s="30" t="n"/>
      <c r="I113" s="18" t="n"/>
      <c r="J113" s="5" t="n"/>
      <c r="K113">
        <f>IF($A113="","",$A113&amp;"|"&amp;COUNTIF($A$2:$A113,$A113))</f>
        <v/>
      </c>
      <c r="L113">
        <f>IF($G113="","",$G113&amp;IF($H113="",""," / "&amp;$H113)&amp;IF($I113="",""," / "&amp;$I113))</f>
        <v/>
      </c>
    </row>
    <row r="114">
      <c r="A114" s="18" t="n"/>
      <c r="B114" s="18" t="n"/>
      <c r="C114" s="18" t="n"/>
      <c r="D114" s="30" t="n"/>
      <c r="E114" s="18" t="n"/>
      <c r="F114" s="5" t="n"/>
      <c r="G114" s="18" t="n"/>
      <c r="H114" s="30" t="n"/>
      <c r="I114" s="18" t="n"/>
      <c r="J114" s="5" t="n"/>
      <c r="K114">
        <f>IF($A114="","",$A114&amp;"|"&amp;COUNTIF($A$2:$A114,$A114))</f>
        <v/>
      </c>
      <c r="L114">
        <f>IF($G114="","",$G114&amp;IF($H114="",""," / "&amp;$H114)&amp;IF($I114="",""," / "&amp;$I114))</f>
        <v/>
      </c>
    </row>
    <row r="115">
      <c r="A115" s="18" t="n"/>
      <c r="B115" s="18" t="n"/>
      <c r="C115" s="18" t="n"/>
      <c r="D115" s="30" t="n"/>
      <c r="E115" s="18" t="n"/>
      <c r="F115" s="5" t="n"/>
      <c r="G115" s="18" t="n"/>
      <c r="H115" s="30" t="n"/>
      <c r="I115" s="18" t="n"/>
      <c r="J115" s="5" t="n"/>
      <c r="K115">
        <f>IF($A115="","",$A115&amp;"|"&amp;COUNTIF($A$2:$A115,$A115))</f>
        <v/>
      </c>
      <c r="L115">
        <f>IF($G115="","",$G115&amp;IF($H115="",""," / "&amp;$H115)&amp;IF($I115="",""," / "&amp;$I115))</f>
        <v/>
      </c>
    </row>
    <row r="116">
      <c r="A116" s="18" t="n"/>
      <c r="B116" s="18" t="n"/>
      <c r="C116" s="18" t="n"/>
      <c r="D116" s="30" t="n"/>
      <c r="E116" s="18" t="n"/>
      <c r="F116" s="5" t="n"/>
      <c r="G116" s="18" t="n"/>
      <c r="H116" s="30" t="n"/>
      <c r="I116" s="18" t="n"/>
      <c r="J116" s="5" t="n"/>
      <c r="K116">
        <f>IF($A116="","",$A116&amp;"|"&amp;COUNTIF($A$2:$A116,$A116))</f>
        <v/>
      </c>
      <c r="L116">
        <f>IF($G116="","",$G116&amp;IF($H116="",""," / "&amp;$H116)&amp;IF($I116="",""," / "&amp;$I116))</f>
        <v/>
      </c>
    </row>
    <row r="117">
      <c r="A117" s="18" t="n"/>
      <c r="B117" s="18" t="n"/>
      <c r="C117" s="18" t="n"/>
      <c r="D117" s="30" t="n"/>
      <c r="E117" s="18" t="n"/>
      <c r="F117" s="5" t="n"/>
      <c r="G117" s="18" t="n"/>
      <c r="H117" s="30" t="n"/>
      <c r="I117" s="18" t="n"/>
      <c r="J117" s="5" t="n"/>
      <c r="K117">
        <f>IF($A117="","",$A117&amp;"|"&amp;COUNTIF($A$2:$A117,$A117))</f>
        <v/>
      </c>
      <c r="L117">
        <f>IF($G117="","",$G117&amp;IF($H117="",""," / "&amp;$H117)&amp;IF($I117="",""," / "&amp;$I117))</f>
        <v/>
      </c>
    </row>
    <row r="118">
      <c r="A118" s="18" t="n"/>
      <c r="B118" s="18" t="n"/>
      <c r="C118" s="18" t="n"/>
      <c r="D118" s="30" t="n"/>
      <c r="E118" s="18" t="n"/>
      <c r="F118" s="5" t="n"/>
      <c r="G118" s="18" t="n"/>
      <c r="H118" s="30" t="n"/>
      <c r="I118" s="18" t="n"/>
      <c r="J118" s="5" t="n"/>
      <c r="K118">
        <f>IF($A118="","",$A118&amp;"|"&amp;COUNTIF($A$2:$A118,$A118))</f>
        <v/>
      </c>
      <c r="L118">
        <f>IF($G118="","",$G118&amp;IF($H118="",""," / "&amp;$H118)&amp;IF($I118="",""," / "&amp;$I118))</f>
        <v/>
      </c>
    </row>
    <row r="119">
      <c r="A119" s="18" t="n"/>
      <c r="B119" s="18" t="n"/>
      <c r="C119" s="18" t="n"/>
      <c r="D119" s="30" t="n"/>
      <c r="E119" s="18" t="n"/>
      <c r="F119" s="5" t="n"/>
      <c r="G119" s="18" t="n"/>
      <c r="H119" s="30" t="n"/>
      <c r="I119" s="18" t="n"/>
      <c r="J119" s="5" t="n"/>
      <c r="K119">
        <f>IF($A119="","",$A119&amp;"|"&amp;COUNTIF($A$2:$A119,$A119))</f>
        <v/>
      </c>
      <c r="L119">
        <f>IF($G119="","",$G119&amp;IF($H119="",""," / "&amp;$H119)&amp;IF($I119="",""," / "&amp;$I119))</f>
        <v/>
      </c>
    </row>
    <row r="120">
      <c r="A120" s="18" t="n"/>
      <c r="B120" s="18" t="n"/>
      <c r="C120" s="18" t="n"/>
      <c r="D120" s="30" t="n"/>
      <c r="E120" s="18" t="n"/>
      <c r="F120" s="5" t="n"/>
      <c r="G120" s="18" t="n"/>
      <c r="H120" s="30" t="n"/>
      <c r="I120" s="18" t="n"/>
      <c r="J120" s="5" t="n"/>
      <c r="K120">
        <f>IF($A120="","",$A120&amp;"|"&amp;COUNTIF($A$2:$A120,$A120))</f>
        <v/>
      </c>
      <c r="L120">
        <f>IF($G120="","",$G120&amp;IF($H120="",""," / "&amp;$H120)&amp;IF($I120="",""," / "&amp;$I120))</f>
        <v/>
      </c>
    </row>
    <row r="121">
      <c r="A121" s="18" t="n"/>
      <c r="B121" s="18" t="n"/>
      <c r="C121" s="18" t="n"/>
      <c r="D121" s="30" t="n"/>
      <c r="E121" s="18" t="n"/>
      <c r="F121" s="5" t="n"/>
      <c r="G121" s="18" t="n"/>
      <c r="H121" s="30" t="n"/>
      <c r="I121" s="18" t="n"/>
      <c r="J121" s="5" t="n"/>
      <c r="K121">
        <f>IF($A121="","",$A121&amp;"|"&amp;COUNTIF($A$2:$A121,$A121))</f>
        <v/>
      </c>
      <c r="L121">
        <f>IF($G121="","",$G121&amp;IF($H121="",""," / "&amp;$H121)&amp;IF($I121="",""," / "&amp;$I121))</f>
        <v/>
      </c>
    </row>
    <row r="122">
      <c r="A122" s="18" t="n"/>
      <c r="B122" s="18" t="n"/>
      <c r="C122" s="18" t="n"/>
      <c r="D122" s="30" t="n"/>
      <c r="E122" s="18" t="n"/>
      <c r="F122" s="5" t="n"/>
      <c r="G122" s="18" t="n"/>
      <c r="H122" s="30" t="n"/>
      <c r="I122" s="18" t="n"/>
      <c r="J122" s="5" t="n"/>
      <c r="K122">
        <f>IF($A122="","",$A122&amp;"|"&amp;COUNTIF($A$2:$A122,$A122))</f>
        <v/>
      </c>
      <c r="L122">
        <f>IF($G122="","",$G122&amp;IF($H122="",""," / "&amp;$H122)&amp;IF($I122="",""," / "&amp;$I122))</f>
        <v/>
      </c>
    </row>
    <row r="123">
      <c r="A123" s="18" t="n"/>
      <c r="B123" s="18" t="n"/>
      <c r="C123" s="18" t="n"/>
      <c r="D123" s="30" t="n"/>
      <c r="E123" s="18" t="n"/>
      <c r="F123" s="5" t="n"/>
      <c r="G123" s="18" t="n"/>
      <c r="H123" s="30" t="n"/>
      <c r="I123" s="18" t="n"/>
      <c r="J123" s="5" t="n"/>
      <c r="K123">
        <f>IF($A123="","",$A123&amp;"|"&amp;COUNTIF($A$2:$A123,$A123))</f>
        <v/>
      </c>
      <c r="L123">
        <f>IF($G123="","",$G123&amp;IF($H123="",""," / "&amp;$H123)&amp;IF($I123="",""," / "&amp;$I123))</f>
        <v/>
      </c>
    </row>
    <row r="124">
      <c r="A124" s="18" t="n"/>
      <c r="B124" s="18" t="n"/>
      <c r="C124" s="18" t="n"/>
      <c r="D124" s="30" t="n"/>
      <c r="E124" s="18" t="n"/>
      <c r="F124" s="5" t="n"/>
      <c r="G124" s="18" t="n"/>
      <c r="H124" s="30" t="n"/>
      <c r="I124" s="18" t="n"/>
      <c r="J124" s="5" t="n"/>
      <c r="K124">
        <f>IF($A124="","",$A124&amp;"|"&amp;COUNTIF($A$2:$A124,$A124))</f>
        <v/>
      </c>
      <c r="L124">
        <f>IF($G124="","",$G124&amp;IF($H124="",""," / "&amp;$H124)&amp;IF($I124="",""," / "&amp;$I124))</f>
        <v/>
      </c>
    </row>
    <row r="125">
      <c r="A125" s="18" t="n"/>
      <c r="B125" s="18" t="n"/>
      <c r="C125" s="18" t="n"/>
      <c r="D125" s="30" t="n"/>
      <c r="E125" s="18" t="n"/>
      <c r="F125" s="5" t="n"/>
      <c r="G125" s="18" t="n"/>
      <c r="H125" s="30" t="n"/>
      <c r="I125" s="18" t="n"/>
      <c r="J125" s="5" t="n"/>
      <c r="K125">
        <f>IF($A125="","",$A125&amp;"|"&amp;COUNTIF($A$2:$A125,$A125))</f>
        <v/>
      </c>
      <c r="L125">
        <f>IF($G125="","",$G125&amp;IF($H125="",""," / "&amp;$H125)&amp;IF($I125="",""," / "&amp;$I125))</f>
        <v/>
      </c>
    </row>
    <row r="126">
      <c r="A126" s="18" t="n"/>
      <c r="B126" s="18" t="n"/>
      <c r="C126" s="18" t="n"/>
      <c r="D126" s="30" t="n"/>
      <c r="E126" s="18" t="n"/>
      <c r="F126" s="5" t="n"/>
      <c r="G126" s="18" t="n"/>
      <c r="H126" s="30" t="n"/>
      <c r="I126" s="18" t="n"/>
      <c r="J126" s="5" t="n"/>
      <c r="K126">
        <f>IF($A126="","",$A126&amp;"|"&amp;COUNTIF($A$2:$A126,$A126))</f>
        <v/>
      </c>
      <c r="L126">
        <f>IF($G126="","",$G126&amp;IF($H126="",""," / "&amp;$H126)&amp;IF($I126="",""," / "&amp;$I126))</f>
        <v/>
      </c>
    </row>
    <row r="127">
      <c r="A127" s="18" t="n"/>
      <c r="B127" s="18" t="n"/>
      <c r="C127" s="18" t="n"/>
      <c r="D127" s="30" t="n"/>
      <c r="E127" s="18" t="n"/>
      <c r="F127" s="5" t="n"/>
      <c r="G127" s="18" t="n"/>
      <c r="H127" s="30" t="n"/>
      <c r="I127" s="18" t="n"/>
      <c r="J127" s="5" t="n"/>
      <c r="K127">
        <f>IF($A127="","",$A127&amp;"|"&amp;COUNTIF($A$2:$A127,$A127))</f>
        <v/>
      </c>
      <c r="L127">
        <f>IF($G127="","",$G127&amp;IF($H127="",""," / "&amp;$H127)&amp;IF($I127="",""," / "&amp;$I127))</f>
        <v/>
      </c>
    </row>
    <row r="128">
      <c r="A128" s="18" t="n"/>
      <c r="B128" s="18" t="n"/>
      <c r="C128" s="18" t="n"/>
      <c r="D128" s="30" t="n"/>
      <c r="E128" s="18" t="n"/>
      <c r="F128" s="5" t="n"/>
      <c r="G128" s="18" t="n"/>
      <c r="H128" s="30" t="n"/>
      <c r="I128" s="18" t="n"/>
      <c r="J128" s="5" t="n"/>
      <c r="K128">
        <f>IF($A128="","",$A128&amp;"|"&amp;COUNTIF($A$2:$A128,$A128))</f>
        <v/>
      </c>
      <c r="L128">
        <f>IF($G128="","",$G128&amp;IF($H128="",""," / "&amp;$H128)&amp;IF($I128="",""," / "&amp;$I128))</f>
        <v/>
      </c>
    </row>
    <row r="129">
      <c r="A129" s="18" t="n"/>
      <c r="B129" s="18" t="n"/>
      <c r="C129" s="18" t="n"/>
      <c r="D129" s="30" t="n"/>
      <c r="E129" s="18" t="n"/>
      <c r="F129" s="5" t="n"/>
      <c r="G129" s="18" t="n"/>
      <c r="H129" s="30" t="n"/>
      <c r="I129" s="18" t="n"/>
      <c r="J129" s="5" t="n"/>
      <c r="K129">
        <f>IF($A129="","",$A129&amp;"|"&amp;COUNTIF($A$2:$A129,$A129))</f>
        <v/>
      </c>
      <c r="L129">
        <f>IF($G129="","",$G129&amp;IF($H129="",""," / "&amp;$H129)&amp;IF($I129="",""," / "&amp;$I129))</f>
        <v/>
      </c>
    </row>
    <row r="130">
      <c r="A130" s="18" t="n"/>
      <c r="B130" s="18" t="n"/>
      <c r="C130" s="18" t="n"/>
      <c r="D130" s="30" t="n"/>
      <c r="E130" s="18" t="n"/>
      <c r="F130" s="5" t="n"/>
      <c r="G130" s="18" t="n"/>
      <c r="H130" s="30" t="n"/>
      <c r="I130" s="18" t="n"/>
      <c r="J130" s="5" t="n"/>
      <c r="K130">
        <f>IF($A130="","",$A130&amp;"|"&amp;COUNTIF($A$2:$A130,$A130))</f>
        <v/>
      </c>
      <c r="L130">
        <f>IF($G130="","",$G130&amp;IF($H130="",""," / "&amp;$H130)&amp;IF($I130="",""," / "&amp;$I130))</f>
        <v/>
      </c>
    </row>
    <row r="131">
      <c r="A131" s="18" t="n"/>
      <c r="B131" s="18" t="n"/>
      <c r="C131" s="18" t="n"/>
      <c r="D131" s="30" t="n"/>
      <c r="E131" s="18" t="n"/>
      <c r="F131" s="5" t="n"/>
      <c r="G131" s="18" t="n"/>
      <c r="H131" s="30" t="n"/>
      <c r="I131" s="18" t="n"/>
      <c r="J131" s="5" t="n"/>
      <c r="K131">
        <f>IF($A131="","",$A131&amp;"|"&amp;COUNTIF($A$2:$A131,$A131))</f>
        <v/>
      </c>
      <c r="L131">
        <f>IF($G131="","",$G131&amp;IF($H131="",""," / "&amp;$H131)&amp;IF($I131="",""," / "&amp;$I131))</f>
        <v/>
      </c>
    </row>
    <row r="132">
      <c r="A132" s="18" t="n"/>
      <c r="B132" s="18" t="n"/>
      <c r="C132" s="18" t="n"/>
      <c r="D132" s="30" t="n"/>
      <c r="E132" s="18" t="n"/>
      <c r="F132" s="5" t="n"/>
      <c r="G132" s="18" t="n"/>
      <c r="H132" s="30" t="n"/>
      <c r="I132" s="18" t="n"/>
      <c r="J132" s="5" t="n"/>
      <c r="K132">
        <f>IF($A132="","",$A132&amp;"|"&amp;COUNTIF($A$2:$A132,$A132))</f>
        <v/>
      </c>
      <c r="L132">
        <f>IF($G132="","",$G132&amp;IF($H132="",""," / "&amp;$H132)&amp;IF($I132="",""," / "&amp;$I132))</f>
        <v/>
      </c>
    </row>
    <row r="133">
      <c r="A133" s="18" t="n"/>
      <c r="B133" s="18" t="n"/>
      <c r="C133" s="18" t="n"/>
      <c r="D133" s="30" t="n"/>
      <c r="E133" s="18" t="n"/>
      <c r="F133" s="5" t="n"/>
      <c r="G133" s="18" t="n"/>
      <c r="H133" s="30" t="n"/>
      <c r="I133" s="18" t="n"/>
      <c r="J133" s="5" t="n"/>
      <c r="K133">
        <f>IF($A133="","",$A133&amp;"|"&amp;COUNTIF($A$2:$A133,$A133))</f>
        <v/>
      </c>
      <c r="L133">
        <f>IF($G133="","",$G133&amp;IF($H133="",""," / "&amp;$H133)&amp;IF($I133="",""," / "&amp;$I133))</f>
        <v/>
      </c>
    </row>
    <row r="134">
      <c r="A134" s="18" t="n"/>
      <c r="B134" s="18" t="n"/>
      <c r="C134" s="18" t="n"/>
      <c r="D134" s="30" t="n"/>
      <c r="E134" s="18" t="n"/>
      <c r="F134" s="5" t="n"/>
      <c r="G134" s="18" t="n"/>
      <c r="H134" s="30" t="n"/>
      <c r="I134" s="18" t="n"/>
      <c r="J134" s="5" t="n"/>
      <c r="K134">
        <f>IF($A134="","",$A134&amp;"|"&amp;COUNTIF($A$2:$A134,$A134))</f>
        <v/>
      </c>
      <c r="L134">
        <f>IF($G134="","",$G134&amp;IF($H134="",""," / "&amp;$H134)&amp;IF($I134="",""," / "&amp;$I134))</f>
        <v/>
      </c>
    </row>
    <row r="135">
      <c r="A135" s="18" t="n"/>
      <c r="B135" s="18" t="n"/>
      <c r="C135" s="18" t="n"/>
      <c r="D135" s="30" t="n"/>
      <c r="E135" s="18" t="n"/>
      <c r="F135" s="5" t="n"/>
      <c r="G135" s="18" t="n"/>
      <c r="H135" s="30" t="n"/>
      <c r="I135" s="18" t="n"/>
      <c r="J135" s="5" t="n"/>
      <c r="K135">
        <f>IF($A135="","",$A135&amp;"|"&amp;COUNTIF($A$2:$A135,$A135))</f>
        <v/>
      </c>
      <c r="L135">
        <f>IF($G135="","",$G135&amp;IF($H135="",""," / "&amp;$H135)&amp;IF($I135="",""," / "&amp;$I135))</f>
        <v/>
      </c>
    </row>
    <row r="136">
      <c r="A136" s="18" t="n"/>
      <c r="B136" s="18" t="n"/>
      <c r="C136" s="18" t="n"/>
      <c r="D136" s="30" t="n"/>
      <c r="E136" s="18" t="n"/>
      <c r="F136" s="5" t="n"/>
      <c r="G136" s="18" t="n"/>
      <c r="H136" s="30" t="n"/>
      <c r="I136" s="18" t="n"/>
      <c r="J136" s="5" t="n"/>
      <c r="K136">
        <f>IF($A136="","",$A136&amp;"|"&amp;COUNTIF($A$2:$A136,$A136))</f>
        <v/>
      </c>
      <c r="L136">
        <f>IF($G136="","",$G136&amp;IF($H136="",""," / "&amp;$H136)&amp;IF($I136="",""," / "&amp;$I136))</f>
        <v/>
      </c>
    </row>
    <row r="137">
      <c r="A137" s="18" t="n"/>
      <c r="B137" s="18" t="n"/>
      <c r="C137" s="18" t="n"/>
      <c r="D137" s="30" t="n"/>
      <c r="E137" s="18" t="n"/>
      <c r="F137" s="5" t="n"/>
      <c r="G137" s="18" t="n"/>
      <c r="H137" s="30" t="n"/>
      <c r="I137" s="18" t="n"/>
      <c r="J137" s="5" t="n"/>
      <c r="K137">
        <f>IF($A137="","",$A137&amp;"|"&amp;COUNTIF($A$2:$A137,$A137))</f>
        <v/>
      </c>
      <c r="L137">
        <f>IF($G137="","",$G137&amp;IF($H137="",""," / "&amp;$H137)&amp;IF($I137="",""," / "&amp;$I137))</f>
        <v/>
      </c>
    </row>
    <row r="138">
      <c r="A138" s="18" t="n"/>
      <c r="B138" s="18" t="n"/>
      <c r="C138" s="18" t="n"/>
      <c r="D138" s="30" t="n"/>
      <c r="E138" s="18" t="n"/>
      <c r="F138" s="5" t="n"/>
      <c r="G138" s="18" t="n"/>
      <c r="H138" s="30" t="n"/>
      <c r="I138" s="18" t="n"/>
      <c r="J138" s="5" t="n"/>
      <c r="K138">
        <f>IF($A138="","",$A138&amp;"|"&amp;COUNTIF($A$2:$A138,$A138))</f>
        <v/>
      </c>
      <c r="L138">
        <f>IF($G138="","",$G138&amp;IF($H138="",""," / "&amp;$H138)&amp;IF($I138="",""," / "&amp;$I138))</f>
        <v/>
      </c>
    </row>
    <row r="139">
      <c r="A139" s="18" t="n"/>
      <c r="B139" s="18" t="n"/>
      <c r="C139" s="18" t="n"/>
      <c r="D139" s="30" t="n"/>
      <c r="E139" s="18" t="n"/>
      <c r="F139" s="5" t="n"/>
      <c r="G139" s="18" t="n"/>
      <c r="H139" s="30" t="n"/>
      <c r="I139" s="18" t="n"/>
      <c r="J139" s="5" t="n"/>
      <c r="K139">
        <f>IF($A139="","",$A139&amp;"|"&amp;COUNTIF($A$2:$A139,$A139))</f>
        <v/>
      </c>
      <c r="L139">
        <f>IF($G139="","",$G139&amp;IF($H139="",""," / "&amp;$H139)&amp;IF($I139="",""," / "&amp;$I139))</f>
        <v/>
      </c>
    </row>
    <row r="140">
      <c r="A140" s="18" t="n"/>
      <c r="B140" s="18" t="n"/>
      <c r="C140" s="18" t="n"/>
      <c r="D140" s="30" t="n"/>
      <c r="E140" s="18" t="n"/>
      <c r="F140" s="5" t="n"/>
      <c r="G140" s="18" t="n"/>
      <c r="H140" s="30" t="n"/>
      <c r="I140" s="18" t="n"/>
      <c r="J140" s="5" t="n"/>
      <c r="K140">
        <f>IF($A140="","",$A140&amp;"|"&amp;COUNTIF($A$2:$A140,$A140))</f>
        <v/>
      </c>
      <c r="L140">
        <f>IF($G140="","",$G140&amp;IF($H140="",""," / "&amp;$H140)&amp;IF($I140="",""," / "&amp;$I140))</f>
        <v/>
      </c>
    </row>
    <row r="141">
      <c r="A141" s="18" t="n"/>
      <c r="B141" s="18" t="n"/>
      <c r="C141" s="18" t="n"/>
      <c r="D141" s="30" t="n"/>
      <c r="E141" s="18" t="n"/>
      <c r="F141" s="5" t="n"/>
      <c r="G141" s="18" t="n"/>
      <c r="H141" s="30" t="n"/>
      <c r="I141" s="18" t="n"/>
      <c r="J141" s="5" t="n"/>
      <c r="K141">
        <f>IF($A141="","",$A141&amp;"|"&amp;COUNTIF($A$2:$A141,$A141))</f>
        <v/>
      </c>
      <c r="L141">
        <f>IF($G141="","",$G141&amp;IF($H141="",""," / "&amp;$H141)&amp;IF($I141="",""," / "&amp;$I141))</f>
        <v/>
      </c>
    </row>
    <row r="142">
      <c r="A142" s="18" t="n"/>
      <c r="B142" s="18" t="n"/>
      <c r="C142" s="18" t="n"/>
      <c r="D142" s="30" t="n"/>
      <c r="E142" s="18" t="n"/>
      <c r="F142" s="5" t="n"/>
      <c r="G142" s="18" t="n"/>
      <c r="H142" s="30" t="n"/>
      <c r="I142" s="18" t="n"/>
      <c r="J142" s="5" t="n"/>
      <c r="K142">
        <f>IF($A142="","",$A142&amp;"|"&amp;COUNTIF($A$2:$A142,$A142))</f>
        <v/>
      </c>
      <c r="L142">
        <f>IF($G142="","",$G142&amp;IF($H142="",""," / "&amp;$H142)&amp;IF($I142="",""," / "&amp;$I142))</f>
        <v/>
      </c>
    </row>
    <row r="143">
      <c r="A143" s="18" t="n"/>
      <c r="B143" s="18" t="n"/>
      <c r="C143" s="18" t="n"/>
      <c r="D143" s="30" t="n"/>
      <c r="E143" s="18" t="n"/>
      <c r="F143" s="5" t="n"/>
      <c r="G143" s="18" t="n"/>
      <c r="H143" s="30" t="n"/>
      <c r="I143" s="18" t="n"/>
      <c r="J143" s="5" t="n"/>
      <c r="K143">
        <f>IF($A143="","",$A143&amp;"|"&amp;COUNTIF($A$2:$A143,$A143))</f>
        <v/>
      </c>
      <c r="L143">
        <f>IF($G143="","",$G143&amp;IF($H143="",""," / "&amp;$H143)&amp;IF($I143="",""," / "&amp;$I143))</f>
        <v/>
      </c>
    </row>
    <row r="144">
      <c r="A144" s="18" t="n"/>
      <c r="B144" s="18" t="n"/>
      <c r="C144" s="18" t="n"/>
      <c r="D144" s="30" t="n"/>
      <c r="E144" s="18" t="n"/>
      <c r="F144" s="5" t="n"/>
      <c r="G144" s="18" t="n"/>
      <c r="H144" s="30" t="n"/>
      <c r="I144" s="18" t="n"/>
      <c r="J144" s="5" t="n"/>
      <c r="K144">
        <f>IF($A144="","",$A144&amp;"|"&amp;COUNTIF($A$2:$A144,$A144))</f>
        <v/>
      </c>
      <c r="L144">
        <f>IF($G144="","",$G144&amp;IF($H144="",""," / "&amp;$H144)&amp;IF($I144="",""," / "&amp;$I144))</f>
        <v/>
      </c>
    </row>
    <row r="145">
      <c r="A145" s="18" t="n"/>
      <c r="B145" s="18" t="n"/>
      <c r="C145" s="18" t="n"/>
      <c r="D145" s="30" t="n"/>
      <c r="E145" s="18" t="n"/>
      <c r="F145" s="5" t="n"/>
      <c r="G145" s="18" t="n"/>
      <c r="H145" s="30" t="n"/>
      <c r="I145" s="18" t="n"/>
      <c r="J145" s="5" t="n"/>
      <c r="K145">
        <f>IF($A145="","",$A145&amp;"|"&amp;COUNTIF($A$2:$A145,$A145))</f>
        <v/>
      </c>
      <c r="L145">
        <f>IF($G145="","",$G145&amp;IF($H145="",""," / "&amp;$H145)&amp;IF($I145="",""," / "&amp;$I145))</f>
        <v/>
      </c>
    </row>
    <row r="146">
      <c r="A146" s="18" t="n"/>
      <c r="B146" s="18" t="n"/>
      <c r="C146" s="18" t="n"/>
      <c r="D146" s="30" t="n"/>
      <c r="E146" s="18" t="n"/>
      <c r="F146" s="5" t="n"/>
      <c r="G146" s="18" t="n"/>
      <c r="H146" s="30" t="n"/>
      <c r="I146" s="18" t="n"/>
      <c r="J146" s="5" t="n"/>
      <c r="K146">
        <f>IF($A146="","",$A146&amp;"|"&amp;COUNTIF($A$2:$A146,$A146))</f>
        <v/>
      </c>
      <c r="L146">
        <f>IF($G146="","",$G146&amp;IF($H146="",""," / "&amp;$H146)&amp;IF($I146="",""," / "&amp;$I146))</f>
        <v/>
      </c>
    </row>
    <row r="147">
      <c r="A147" s="18" t="n"/>
      <c r="B147" s="18" t="n"/>
      <c r="C147" s="18" t="n"/>
      <c r="D147" s="30" t="n"/>
      <c r="E147" s="18" t="n"/>
      <c r="F147" s="5" t="n"/>
      <c r="G147" s="18" t="n"/>
      <c r="H147" s="30" t="n"/>
      <c r="I147" s="18" t="n"/>
      <c r="J147" s="5" t="n"/>
      <c r="K147">
        <f>IF($A147="","",$A147&amp;"|"&amp;COUNTIF($A$2:$A147,$A147))</f>
        <v/>
      </c>
      <c r="L147">
        <f>IF($G147="","",$G147&amp;IF($H147="",""," / "&amp;$H147)&amp;IF($I147="",""," / "&amp;$I147))</f>
        <v/>
      </c>
    </row>
    <row r="148">
      <c r="A148" s="18" t="n"/>
      <c r="B148" s="18" t="n"/>
      <c r="C148" s="18" t="n"/>
      <c r="D148" s="30" t="n"/>
      <c r="E148" s="18" t="n"/>
      <c r="F148" s="5" t="n"/>
      <c r="G148" s="18" t="n"/>
      <c r="H148" s="30" t="n"/>
      <c r="I148" s="18" t="n"/>
      <c r="J148" s="5" t="n"/>
      <c r="K148">
        <f>IF($A148="","",$A148&amp;"|"&amp;COUNTIF($A$2:$A148,$A148))</f>
        <v/>
      </c>
      <c r="L148">
        <f>IF($G148="","",$G148&amp;IF($H148="",""," / "&amp;$H148)&amp;IF($I148="",""," / "&amp;$I148))</f>
        <v/>
      </c>
    </row>
    <row r="149">
      <c r="A149" s="18" t="n"/>
      <c r="B149" s="18" t="n"/>
      <c r="C149" s="18" t="n"/>
      <c r="D149" s="30" t="n"/>
      <c r="E149" s="18" t="n"/>
      <c r="F149" s="5" t="n"/>
      <c r="G149" s="18" t="n"/>
      <c r="H149" s="30" t="n"/>
      <c r="I149" s="18" t="n"/>
      <c r="J149" s="5" t="n"/>
      <c r="K149">
        <f>IF($A149="","",$A149&amp;"|"&amp;COUNTIF($A$2:$A149,$A149))</f>
        <v/>
      </c>
      <c r="L149">
        <f>IF($G149="","",$G149&amp;IF($H149="",""," / "&amp;$H149)&amp;IF($I149="",""," / "&amp;$I149))</f>
        <v/>
      </c>
    </row>
    <row r="150">
      <c r="A150" s="18" t="n"/>
      <c r="B150" s="18" t="n"/>
      <c r="C150" s="18" t="n"/>
      <c r="D150" s="30" t="n"/>
      <c r="E150" s="18" t="n"/>
      <c r="F150" s="5" t="n"/>
      <c r="G150" s="18" t="n"/>
      <c r="H150" s="30" t="n"/>
      <c r="I150" s="18" t="n"/>
      <c r="J150" s="5" t="n"/>
      <c r="K150">
        <f>IF($A150="","",$A150&amp;"|"&amp;COUNTIF($A$2:$A150,$A150))</f>
        <v/>
      </c>
      <c r="L150">
        <f>IF($G150="","",$G150&amp;IF($H150="",""," / "&amp;$H150)&amp;IF($I150="",""," / "&amp;$I150))</f>
        <v/>
      </c>
    </row>
    <row r="151">
      <c r="A151" s="18" t="n"/>
      <c r="B151" s="18" t="n"/>
      <c r="C151" s="18" t="n"/>
      <c r="D151" s="30" t="n"/>
      <c r="E151" s="18" t="n"/>
      <c r="F151" s="5" t="n"/>
      <c r="G151" s="18" t="n"/>
      <c r="H151" s="30" t="n"/>
      <c r="I151" s="18" t="n"/>
      <c r="J151" s="5" t="n"/>
      <c r="K151">
        <f>IF($A151="","",$A151&amp;"|"&amp;COUNTIF($A$2:$A151,$A151))</f>
        <v/>
      </c>
      <c r="L151">
        <f>IF($G151="","",$G151&amp;IF($H151="",""," / "&amp;$H151)&amp;IF($I151="",""," / "&amp;$I151))</f>
        <v/>
      </c>
    </row>
    <row r="152">
      <c r="A152" s="18" t="n"/>
      <c r="B152" s="18" t="n"/>
      <c r="C152" s="18" t="n"/>
      <c r="D152" s="30" t="n"/>
      <c r="E152" s="18" t="n"/>
      <c r="F152" s="5" t="n"/>
      <c r="G152" s="18" t="n"/>
      <c r="H152" s="30" t="n"/>
      <c r="I152" s="18" t="n"/>
      <c r="J152" s="5" t="n"/>
      <c r="K152">
        <f>IF($A152="","",$A152&amp;"|"&amp;COUNTIF($A$2:$A152,$A152))</f>
        <v/>
      </c>
      <c r="L152">
        <f>IF($G152="","",$G152&amp;IF($H152="",""," / "&amp;$H152)&amp;IF($I152="",""," / "&amp;$I152))</f>
        <v/>
      </c>
    </row>
    <row r="153">
      <c r="A153" s="18" t="n"/>
      <c r="B153" s="18" t="n"/>
      <c r="C153" s="18" t="n"/>
      <c r="D153" s="30" t="n"/>
      <c r="E153" s="18" t="n"/>
      <c r="F153" s="5" t="n"/>
      <c r="G153" s="18" t="n"/>
      <c r="H153" s="30" t="n"/>
      <c r="I153" s="18" t="n"/>
      <c r="J153" s="5" t="n"/>
      <c r="K153">
        <f>IF($A153="","",$A153&amp;"|"&amp;COUNTIF($A$2:$A153,$A153))</f>
        <v/>
      </c>
      <c r="L153">
        <f>IF($G153="","",$G153&amp;IF($H153="",""," / "&amp;$H153)&amp;IF($I153="",""," / "&amp;$I153))</f>
        <v/>
      </c>
    </row>
    <row r="154">
      <c r="A154" s="18" t="n"/>
      <c r="B154" s="18" t="n"/>
      <c r="C154" s="18" t="n"/>
      <c r="D154" s="30" t="n"/>
      <c r="E154" s="18" t="n"/>
      <c r="F154" s="5" t="n"/>
      <c r="G154" s="18" t="n"/>
      <c r="H154" s="30" t="n"/>
      <c r="I154" s="18" t="n"/>
      <c r="J154" s="5" t="n"/>
      <c r="K154">
        <f>IF($A154="","",$A154&amp;"|"&amp;COUNTIF($A$2:$A154,$A154))</f>
        <v/>
      </c>
      <c r="L154">
        <f>IF($G154="","",$G154&amp;IF($H154="",""," / "&amp;$H154)&amp;IF($I154="",""," / "&amp;$I154))</f>
        <v/>
      </c>
    </row>
    <row r="155">
      <c r="A155" s="18" t="n"/>
      <c r="B155" s="18" t="n"/>
      <c r="C155" s="18" t="n"/>
      <c r="D155" s="30" t="n"/>
      <c r="E155" s="18" t="n"/>
      <c r="F155" s="5" t="n"/>
      <c r="G155" s="18" t="n"/>
      <c r="H155" s="30" t="n"/>
      <c r="I155" s="18" t="n"/>
      <c r="J155" s="5" t="n"/>
      <c r="K155">
        <f>IF($A155="","",$A155&amp;"|"&amp;COUNTIF($A$2:$A155,$A155))</f>
        <v/>
      </c>
      <c r="L155">
        <f>IF($G155="","",$G155&amp;IF($H155="",""," / "&amp;$H155)&amp;IF($I155="",""," / "&amp;$I155))</f>
        <v/>
      </c>
    </row>
    <row r="156">
      <c r="A156" s="18" t="n"/>
      <c r="B156" s="18" t="n"/>
      <c r="C156" s="18" t="n"/>
      <c r="D156" s="30" t="n"/>
      <c r="E156" s="18" t="n"/>
      <c r="F156" s="5" t="n"/>
      <c r="G156" s="18" t="n"/>
      <c r="H156" s="30" t="n"/>
      <c r="I156" s="18" t="n"/>
      <c r="J156" s="5" t="n"/>
      <c r="K156">
        <f>IF($A156="","",$A156&amp;"|"&amp;COUNTIF($A$2:$A156,$A156))</f>
        <v/>
      </c>
      <c r="L156">
        <f>IF($G156="","",$G156&amp;IF($H156="",""," / "&amp;$H156)&amp;IF($I156="",""," / "&amp;$I156))</f>
        <v/>
      </c>
    </row>
    <row r="157">
      <c r="A157" s="18" t="n"/>
      <c r="B157" s="18" t="n"/>
      <c r="C157" s="18" t="n"/>
      <c r="D157" s="30" t="n"/>
      <c r="E157" s="18" t="n"/>
      <c r="F157" s="5" t="n"/>
      <c r="G157" s="18" t="n"/>
      <c r="H157" s="30" t="n"/>
      <c r="I157" s="18" t="n"/>
      <c r="J157" s="5" t="n"/>
      <c r="K157">
        <f>IF($A157="","",$A157&amp;"|"&amp;COUNTIF($A$2:$A157,$A157))</f>
        <v/>
      </c>
      <c r="L157">
        <f>IF($G157="","",$G157&amp;IF($H157="",""," / "&amp;$H157)&amp;IF($I157="",""," / "&amp;$I157))</f>
        <v/>
      </c>
    </row>
    <row r="158">
      <c r="A158" s="18" t="n"/>
      <c r="B158" s="18" t="n"/>
      <c r="C158" s="18" t="n"/>
      <c r="D158" s="30" t="n"/>
      <c r="E158" s="18" t="n"/>
      <c r="F158" s="5" t="n"/>
      <c r="G158" s="18" t="n"/>
      <c r="H158" s="30" t="n"/>
      <c r="I158" s="18" t="n"/>
      <c r="J158" s="5" t="n"/>
      <c r="K158">
        <f>IF($A158="","",$A158&amp;"|"&amp;COUNTIF($A$2:$A158,$A158))</f>
        <v/>
      </c>
      <c r="L158">
        <f>IF($G158="","",$G158&amp;IF($H158="",""," / "&amp;$H158)&amp;IF($I158="",""," / "&amp;$I158))</f>
        <v/>
      </c>
    </row>
    <row r="159">
      <c r="A159" s="18" t="n"/>
      <c r="B159" s="18" t="n"/>
      <c r="C159" s="18" t="n"/>
      <c r="D159" s="30" t="n"/>
      <c r="E159" s="18" t="n"/>
      <c r="F159" s="5" t="n"/>
      <c r="G159" s="18" t="n"/>
      <c r="H159" s="30" t="n"/>
      <c r="I159" s="18" t="n"/>
      <c r="J159" s="5" t="n"/>
      <c r="K159">
        <f>IF($A159="","",$A159&amp;"|"&amp;COUNTIF($A$2:$A159,$A159))</f>
        <v/>
      </c>
      <c r="L159">
        <f>IF($G159="","",$G159&amp;IF($H159="",""," / "&amp;$H159)&amp;IF($I159="",""," / "&amp;$I159))</f>
        <v/>
      </c>
    </row>
    <row r="160">
      <c r="A160" s="18" t="n"/>
      <c r="B160" s="18" t="n"/>
      <c r="C160" s="18" t="n"/>
      <c r="D160" s="30" t="n"/>
      <c r="E160" s="18" t="n"/>
      <c r="F160" s="5" t="n"/>
      <c r="G160" s="18" t="n"/>
      <c r="H160" s="30" t="n"/>
      <c r="I160" s="18" t="n"/>
      <c r="J160" s="5" t="n"/>
      <c r="K160">
        <f>IF($A160="","",$A160&amp;"|"&amp;COUNTIF($A$2:$A160,$A160))</f>
        <v/>
      </c>
      <c r="L160">
        <f>IF($G160="","",$G160&amp;IF($H160="",""," / "&amp;$H160)&amp;IF($I160="",""," / "&amp;$I160))</f>
        <v/>
      </c>
    </row>
    <row r="161">
      <c r="A161" s="18" t="n"/>
      <c r="B161" s="18" t="n"/>
      <c r="C161" s="18" t="n"/>
      <c r="D161" s="30" t="n"/>
      <c r="E161" s="18" t="n"/>
      <c r="F161" s="5" t="n"/>
      <c r="G161" s="18" t="n"/>
      <c r="H161" s="30" t="n"/>
      <c r="I161" s="18" t="n"/>
      <c r="J161" s="5" t="n"/>
      <c r="K161">
        <f>IF($A161="","",$A161&amp;"|"&amp;COUNTIF($A$2:$A161,$A161))</f>
        <v/>
      </c>
      <c r="L161">
        <f>IF($G161="","",$G161&amp;IF($H161="",""," / "&amp;$H161)&amp;IF($I161="",""," / "&amp;$I161))</f>
        <v/>
      </c>
    </row>
    <row r="162">
      <c r="A162" s="18" t="n"/>
      <c r="B162" s="18" t="n"/>
      <c r="C162" s="18" t="n"/>
      <c r="D162" s="30" t="n"/>
      <c r="E162" s="18" t="n"/>
      <c r="F162" s="5" t="n"/>
      <c r="G162" s="18" t="n"/>
      <c r="H162" s="30" t="n"/>
      <c r="I162" s="18" t="n"/>
      <c r="J162" s="5" t="n"/>
      <c r="K162">
        <f>IF($A162="","",$A162&amp;"|"&amp;COUNTIF($A$2:$A162,$A162))</f>
        <v/>
      </c>
      <c r="L162">
        <f>IF($G162="","",$G162&amp;IF($H162="",""," / "&amp;$H162)&amp;IF($I162="",""," / "&amp;$I162))</f>
        <v/>
      </c>
    </row>
    <row r="163">
      <c r="A163" s="18" t="n"/>
      <c r="B163" s="18" t="n"/>
      <c r="C163" s="18" t="n"/>
      <c r="D163" s="30" t="n"/>
      <c r="E163" s="18" t="n"/>
      <c r="F163" s="5" t="n"/>
      <c r="G163" s="18" t="n"/>
      <c r="H163" s="30" t="n"/>
      <c r="I163" s="18" t="n"/>
      <c r="J163" s="5" t="n"/>
      <c r="K163">
        <f>IF($A163="","",$A163&amp;"|"&amp;COUNTIF($A$2:$A163,$A163))</f>
        <v/>
      </c>
      <c r="L163">
        <f>IF($G163="","",$G163&amp;IF($H163="",""," / "&amp;$H163)&amp;IF($I163="",""," / "&amp;$I163))</f>
        <v/>
      </c>
    </row>
    <row r="164">
      <c r="A164" s="18" t="n"/>
      <c r="B164" s="18" t="n"/>
      <c r="C164" s="18" t="n"/>
      <c r="D164" s="30" t="n"/>
      <c r="E164" s="18" t="n"/>
      <c r="F164" s="5" t="n"/>
      <c r="G164" s="18" t="n"/>
      <c r="H164" s="30" t="n"/>
      <c r="I164" s="18" t="n"/>
      <c r="J164" s="5" t="n"/>
      <c r="K164">
        <f>IF($A164="","",$A164&amp;"|"&amp;COUNTIF($A$2:$A164,$A164))</f>
        <v/>
      </c>
      <c r="L164">
        <f>IF($G164="","",$G164&amp;IF($H164="",""," / "&amp;$H164)&amp;IF($I164="",""," / "&amp;$I164))</f>
        <v/>
      </c>
    </row>
    <row r="165">
      <c r="A165" s="18" t="n"/>
      <c r="B165" s="18" t="n"/>
      <c r="C165" s="18" t="n"/>
      <c r="D165" s="30" t="n"/>
      <c r="E165" s="18" t="n"/>
      <c r="F165" s="5" t="n"/>
      <c r="G165" s="18" t="n"/>
      <c r="H165" s="30" t="n"/>
      <c r="I165" s="18" t="n"/>
      <c r="J165" s="5" t="n"/>
      <c r="K165">
        <f>IF($A165="","",$A165&amp;"|"&amp;COUNTIF($A$2:$A165,$A165))</f>
        <v/>
      </c>
      <c r="L165">
        <f>IF($G165="","",$G165&amp;IF($H165="",""," / "&amp;$H165)&amp;IF($I165="",""," / "&amp;$I165))</f>
        <v/>
      </c>
    </row>
    <row r="166">
      <c r="A166" s="18" t="n"/>
      <c r="B166" s="18" t="n"/>
      <c r="C166" s="18" t="n"/>
      <c r="D166" s="30" t="n"/>
      <c r="E166" s="18" t="n"/>
      <c r="F166" s="5" t="n"/>
      <c r="G166" s="18" t="n"/>
      <c r="H166" s="30" t="n"/>
      <c r="I166" s="18" t="n"/>
      <c r="J166" s="5" t="n"/>
      <c r="K166">
        <f>IF($A166="","",$A166&amp;"|"&amp;COUNTIF($A$2:$A166,$A166))</f>
        <v/>
      </c>
      <c r="L166">
        <f>IF($G166="","",$G166&amp;IF($H166="",""," / "&amp;$H166)&amp;IF($I166="",""," / "&amp;$I166))</f>
        <v/>
      </c>
    </row>
    <row r="167">
      <c r="A167" s="18" t="n"/>
      <c r="B167" s="18" t="n"/>
      <c r="C167" s="18" t="n"/>
      <c r="D167" s="30" t="n"/>
      <c r="E167" s="18" t="n"/>
      <c r="F167" s="5" t="n"/>
      <c r="G167" s="18" t="n"/>
      <c r="H167" s="30" t="n"/>
      <c r="I167" s="18" t="n"/>
      <c r="J167" s="5" t="n"/>
      <c r="K167">
        <f>IF($A167="","",$A167&amp;"|"&amp;COUNTIF($A$2:$A167,$A167))</f>
        <v/>
      </c>
      <c r="L167">
        <f>IF($G167="","",$G167&amp;IF($H167="",""," / "&amp;$H167)&amp;IF($I167="",""," / "&amp;$I167))</f>
        <v/>
      </c>
    </row>
    <row r="168">
      <c r="A168" s="18" t="n"/>
      <c r="B168" s="18" t="n"/>
      <c r="C168" s="18" t="n"/>
      <c r="D168" s="30" t="n"/>
      <c r="E168" s="18" t="n"/>
      <c r="F168" s="5" t="n"/>
      <c r="G168" s="18" t="n"/>
      <c r="H168" s="30" t="n"/>
      <c r="I168" s="18" t="n"/>
      <c r="J168" s="5" t="n"/>
      <c r="K168">
        <f>IF($A168="","",$A168&amp;"|"&amp;COUNTIF($A$2:$A168,$A168))</f>
        <v/>
      </c>
      <c r="L168">
        <f>IF($G168="","",$G168&amp;IF($H168="",""," / "&amp;$H168)&amp;IF($I168="",""," / "&amp;$I168))</f>
        <v/>
      </c>
    </row>
    <row r="169">
      <c r="A169" s="18" t="n"/>
      <c r="B169" s="18" t="n"/>
      <c r="C169" s="18" t="n"/>
      <c r="D169" s="30" t="n"/>
      <c r="E169" s="18" t="n"/>
      <c r="F169" s="5" t="n"/>
      <c r="G169" s="18" t="n"/>
      <c r="H169" s="30" t="n"/>
      <c r="I169" s="18" t="n"/>
      <c r="J169" s="5" t="n"/>
      <c r="K169">
        <f>IF($A169="","",$A169&amp;"|"&amp;COUNTIF($A$2:$A169,$A169))</f>
        <v/>
      </c>
      <c r="L169">
        <f>IF($G169="","",$G169&amp;IF($H169="",""," / "&amp;$H169)&amp;IF($I169="",""," / "&amp;$I169))</f>
        <v/>
      </c>
    </row>
    <row r="170">
      <c r="A170" s="18" t="n"/>
      <c r="B170" s="18" t="n"/>
      <c r="C170" s="18" t="n"/>
      <c r="D170" s="30" t="n"/>
      <c r="E170" s="18" t="n"/>
      <c r="F170" s="5" t="n"/>
      <c r="G170" s="18" t="n"/>
      <c r="H170" s="30" t="n"/>
      <c r="I170" s="18" t="n"/>
      <c r="J170" s="5" t="n"/>
      <c r="K170">
        <f>IF($A170="","",$A170&amp;"|"&amp;COUNTIF($A$2:$A170,$A170))</f>
        <v/>
      </c>
      <c r="L170">
        <f>IF($G170="","",$G170&amp;IF($H170="",""," / "&amp;$H170)&amp;IF($I170="",""," / "&amp;$I170))</f>
        <v/>
      </c>
    </row>
    <row r="171">
      <c r="A171" s="18" t="n"/>
      <c r="B171" s="18" t="n"/>
      <c r="C171" s="18" t="n"/>
      <c r="D171" s="30" t="n"/>
      <c r="E171" s="18" t="n"/>
      <c r="F171" s="5" t="n"/>
      <c r="G171" s="18" t="n"/>
      <c r="H171" s="30" t="n"/>
      <c r="I171" s="18" t="n"/>
      <c r="J171" s="5" t="n"/>
      <c r="K171">
        <f>IF($A171="","",$A171&amp;"|"&amp;COUNTIF($A$2:$A171,$A171))</f>
        <v/>
      </c>
      <c r="L171">
        <f>IF($G171="","",$G171&amp;IF($H171="",""," / "&amp;$H171)&amp;IF($I171="",""," / "&amp;$I171))</f>
        <v/>
      </c>
    </row>
    <row r="172">
      <c r="A172" s="18" t="n"/>
      <c r="B172" s="18" t="n"/>
      <c r="C172" s="18" t="n"/>
      <c r="D172" s="30" t="n"/>
      <c r="E172" s="18" t="n"/>
      <c r="F172" s="5" t="n"/>
      <c r="G172" s="18" t="n"/>
      <c r="H172" s="30" t="n"/>
      <c r="I172" s="18" t="n"/>
      <c r="J172" s="5" t="n"/>
      <c r="K172">
        <f>IF($A172="","",$A172&amp;"|"&amp;COUNTIF($A$2:$A172,$A172))</f>
        <v/>
      </c>
      <c r="L172">
        <f>IF($G172="","",$G172&amp;IF($H172="",""," / "&amp;$H172)&amp;IF($I172="",""," / "&amp;$I172))</f>
        <v/>
      </c>
    </row>
    <row r="173">
      <c r="A173" s="18" t="n"/>
      <c r="B173" s="18" t="n"/>
      <c r="C173" s="18" t="n"/>
      <c r="D173" s="30" t="n"/>
      <c r="E173" s="18" t="n"/>
      <c r="F173" s="5" t="n"/>
      <c r="G173" s="18" t="n"/>
      <c r="H173" s="30" t="n"/>
      <c r="I173" s="18" t="n"/>
      <c r="J173" s="5" t="n"/>
      <c r="K173">
        <f>IF($A173="","",$A173&amp;"|"&amp;COUNTIF($A$2:$A173,$A173))</f>
        <v/>
      </c>
      <c r="L173">
        <f>IF($G173="","",$G173&amp;IF($H173="",""," / "&amp;$H173)&amp;IF($I173="",""," / "&amp;$I173))</f>
        <v/>
      </c>
    </row>
    <row r="174">
      <c r="A174" s="18" t="n"/>
      <c r="B174" s="18" t="n"/>
      <c r="C174" s="18" t="n"/>
      <c r="D174" s="30" t="n"/>
      <c r="E174" s="18" t="n"/>
      <c r="F174" s="5" t="n"/>
      <c r="G174" s="18" t="n"/>
      <c r="H174" s="30" t="n"/>
      <c r="I174" s="18" t="n"/>
      <c r="J174" s="5" t="n"/>
      <c r="K174">
        <f>IF($A174="","",$A174&amp;"|"&amp;COUNTIF($A$2:$A174,$A174))</f>
        <v/>
      </c>
      <c r="L174">
        <f>IF($G174="","",$G174&amp;IF($H174="",""," / "&amp;$H174)&amp;IF($I174="",""," / "&amp;$I174))</f>
        <v/>
      </c>
    </row>
    <row r="175">
      <c r="A175" s="18" t="n"/>
      <c r="B175" s="18" t="n"/>
      <c r="C175" s="18" t="n"/>
      <c r="D175" s="30" t="n"/>
      <c r="E175" s="18" t="n"/>
      <c r="F175" s="5" t="n"/>
      <c r="G175" s="18" t="n"/>
      <c r="H175" s="30" t="n"/>
      <c r="I175" s="18" t="n"/>
      <c r="J175" s="5" t="n"/>
      <c r="K175">
        <f>IF($A175="","",$A175&amp;"|"&amp;COUNTIF($A$2:$A175,$A175))</f>
        <v/>
      </c>
      <c r="L175">
        <f>IF($G175="","",$G175&amp;IF($H175="",""," / "&amp;$H175)&amp;IF($I175="",""," / "&amp;$I175))</f>
        <v/>
      </c>
    </row>
    <row r="176">
      <c r="A176" s="18" t="n"/>
      <c r="B176" s="18" t="n"/>
      <c r="C176" s="18" t="n"/>
      <c r="D176" s="30" t="n"/>
      <c r="E176" s="18" t="n"/>
      <c r="F176" s="5" t="n"/>
      <c r="G176" s="18" t="n"/>
      <c r="H176" s="30" t="n"/>
      <c r="I176" s="18" t="n"/>
      <c r="J176" s="5" t="n"/>
      <c r="K176">
        <f>IF($A176="","",$A176&amp;"|"&amp;COUNTIF($A$2:$A176,$A176))</f>
        <v/>
      </c>
      <c r="L176">
        <f>IF($G176="","",$G176&amp;IF($H176="",""," / "&amp;$H176)&amp;IF($I176="",""," / "&amp;$I176))</f>
        <v/>
      </c>
    </row>
    <row r="177">
      <c r="A177" s="18" t="n"/>
      <c r="B177" s="18" t="n"/>
      <c r="C177" s="18" t="n"/>
      <c r="D177" s="30" t="n"/>
      <c r="E177" s="18" t="n"/>
      <c r="F177" s="5" t="n"/>
      <c r="G177" s="18" t="n"/>
      <c r="H177" s="30" t="n"/>
      <c r="I177" s="18" t="n"/>
      <c r="J177" s="5" t="n"/>
      <c r="K177">
        <f>IF($A177="","",$A177&amp;"|"&amp;COUNTIF($A$2:$A177,$A177))</f>
        <v/>
      </c>
      <c r="L177">
        <f>IF($G177="","",$G177&amp;IF($H177="",""," / "&amp;$H177)&amp;IF($I177="",""," / "&amp;$I177))</f>
        <v/>
      </c>
    </row>
    <row r="178">
      <c r="A178" s="18" t="n"/>
      <c r="B178" s="18" t="n"/>
      <c r="C178" s="18" t="n"/>
      <c r="D178" s="30" t="n"/>
      <c r="E178" s="18" t="n"/>
      <c r="F178" s="5" t="n"/>
      <c r="G178" s="18" t="n"/>
      <c r="H178" s="30" t="n"/>
      <c r="I178" s="18" t="n"/>
      <c r="J178" s="5" t="n"/>
      <c r="K178">
        <f>IF($A178="","",$A178&amp;"|"&amp;COUNTIF($A$2:$A178,$A178))</f>
        <v/>
      </c>
      <c r="L178">
        <f>IF($G178="","",$G178&amp;IF($H178="",""," / "&amp;$H178)&amp;IF($I178="",""," / "&amp;$I178))</f>
        <v/>
      </c>
    </row>
    <row r="179">
      <c r="A179" s="18" t="n"/>
      <c r="B179" s="18" t="n"/>
      <c r="C179" s="18" t="n"/>
      <c r="D179" s="30" t="n"/>
      <c r="E179" s="18" t="n"/>
      <c r="F179" s="5" t="n"/>
      <c r="G179" s="18" t="n"/>
      <c r="H179" s="30" t="n"/>
      <c r="I179" s="18" t="n"/>
      <c r="J179" s="5" t="n"/>
      <c r="K179">
        <f>IF($A179="","",$A179&amp;"|"&amp;COUNTIF($A$2:$A179,$A179))</f>
        <v/>
      </c>
      <c r="L179">
        <f>IF($G179="","",$G179&amp;IF($H179="",""," / "&amp;$H179)&amp;IF($I179="",""," / "&amp;$I179))</f>
        <v/>
      </c>
    </row>
    <row r="180">
      <c r="A180" s="18" t="n"/>
      <c r="B180" s="18" t="n"/>
      <c r="C180" s="18" t="n"/>
      <c r="D180" s="30" t="n"/>
      <c r="E180" s="18" t="n"/>
      <c r="F180" s="5" t="n"/>
      <c r="G180" s="18" t="n"/>
      <c r="H180" s="30" t="n"/>
      <c r="I180" s="18" t="n"/>
      <c r="J180" s="5" t="n"/>
      <c r="K180">
        <f>IF($A180="","",$A180&amp;"|"&amp;COUNTIF($A$2:$A180,$A180))</f>
        <v/>
      </c>
      <c r="L180">
        <f>IF($G180="","",$G180&amp;IF($H180="",""," / "&amp;$H180)&amp;IF($I180="",""," / "&amp;$I180))</f>
        <v/>
      </c>
    </row>
    <row r="181">
      <c r="A181" s="18" t="n"/>
      <c r="B181" s="18" t="n"/>
      <c r="C181" s="18" t="n"/>
      <c r="D181" s="30" t="n"/>
      <c r="E181" s="18" t="n"/>
      <c r="F181" s="5" t="n"/>
      <c r="G181" s="18" t="n"/>
      <c r="H181" s="30" t="n"/>
      <c r="I181" s="18" t="n"/>
      <c r="J181" s="5" t="n"/>
      <c r="K181">
        <f>IF($A181="","",$A181&amp;"|"&amp;COUNTIF($A$2:$A181,$A181))</f>
        <v/>
      </c>
      <c r="L181">
        <f>IF($G181="","",$G181&amp;IF($H181="",""," / "&amp;$H181)&amp;IF($I181="",""," / "&amp;$I181))</f>
        <v/>
      </c>
    </row>
    <row r="182">
      <c r="A182" s="18" t="n"/>
      <c r="B182" s="18" t="n"/>
      <c r="C182" s="18" t="n"/>
      <c r="D182" s="30" t="n"/>
      <c r="E182" s="18" t="n"/>
      <c r="F182" s="5" t="n"/>
      <c r="G182" s="18" t="n"/>
      <c r="H182" s="30" t="n"/>
      <c r="I182" s="18" t="n"/>
      <c r="J182" s="5" t="n"/>
      <c r="K182">
        <f>IF($A182="","",$A182&amp;"|"&amp;COUNTIF($A$2:$A182,$A182))</f>
        <v/>
      </c>
      <c r="L182">
        <f>IF($G182="","",$G182&amp;IF($H182="",""," / "&amp;$H182)&amp;IF($I182="",""," / "&amp;$I182))</f>
        <v/>
      </c>
    </row>
    <row r="183">
      <c r="A183" s="18" t="n"/>
      <c r="B183" s="18" t="n"/>
      <c r="C183" s="18" t="n"/>
      <c r="D183" s="30" t="n"/>
      <c r="E183" s="18" t="n"/>
      <c r="F183" s="5" t="n"/>
      <c r="G183" s="18" t="n"/>
      <c r="H183" s="30" t="n"/>
      <c r="I183" s="18" t="n"/>
      <c r="J183" s="5" t="n"/>
      <c r="K183">
        <f>IF($A183="","",$A183&amp;"|"&amp;COUNTIF($A$2:$A183,$A183))</f>
        <v/>
      </c>
      <c r="L183">
        <f>IF($G183="","",$G183&amp;IF($H183="",""," / "&amp;$H183)&amp;IF($I183="",""," / "&amp;$I183))</f>
        <v/>
      </c>
    </row>
    <row r="184">
      <c r="A184" s="18" t="n"/>
      <c r="B184" s="18" t="n"/>
      <c r="C184" s="18" t="n"/>
      <c r="D184" s="30" t="n"/>
      <c r="E184" s="18" t="n"/>
      <c r="F184" s="5" t="n"/>
      <c r="G184" s="18" t="n"/>
      <c r="H184" s="30" t="n"/>
      <c r="I184" s="18" t="n"/>
      <c r="J184" s="5" t="n"/>
      <c r="K184">
        <f>IF($A184="","",$A184&amp;"|"&amp;COUNTIF($A$2:$A184,$A184))</f>
        <v/>
      </c>
      <c r="L184">
        <f>IF($G184="","",$G184&amp;IF($H184="",""," / "&amp;$H184)&amp;IF($I184="",""," / "&amp;$I184))</f>
        <v/>
      </c>
    </row>
    <row r="185">
      <c r="A185" s="18" t="n"/>
      <c r="B185" s="18" t="n"/>
      <c r="C185" s="18" t="n"/>
      <c r="D185" s="30" t="n"/>
      <c r="E185" s="18" t="n"/>
      <c r="F185" s="5" t="n"/>
      <c r="G185" s="18" t="n"/>
      <c r="H185" s="30" t="n"/>
      <c r="I185" s="18" t="n"/>
      <c r="J185" s="5" t="n"/>
      <c r="K185">
        <f>IF($A185="","",$A185&amp;"|"&amp;COUNTIF($A$2:$A185,$A185))</f>
        <v/>
      </c>
      <c r="L185">
        <f>IF($G185="","",$G185&amp;IF($H185="",""," / "&amp;$H185)&amp;IF($I185="",""," / "&amp;$I185))</f>
        <v/>
      </c>
    </row>
    <row r="186">
      <c r="A186" s="18" t="n"/>
      <c r="B186" s="18" t="n"/>
      <c r="C186" s="18" t="n"/>
      <c r="D186" s="30" t="n"/>
      <c r="E186" s="18" t="n"/>
      <c r="F186" s="5" t="n"/>
      <c r="G186" s="18" t="n"/>
      <c r="H186" s="30" t="n"/>
      <c r="I186" s="18" t="n"/>
      <c r="J186" s="5" t="n"/>
      <c r="K186">
        <f>IF($A186="","",$A186&amp;"|"&amp;COUNTIF($A$2:$A186,$A186))</f>
        <v/>
      </c>
      <c r="L186">
        <f>IF($G186="","",$G186&amp;IF($H186="",""," / "&amp;$H186)&amp;IF($I186="",""," / "&amp;$I186))</f>
        <v/>
      </c>
    </row>
    <row r="187">
      <c r="A187" s="18" t="n"/>
      <c r="B187" s="18" t="n"/>
      <c r="C187" s="18" t="n"/>
      <c r="D187" s="30" t="n"/>
      <c r="E187" s="18" t="n"/>
      <c r="F187" s="5" t="n"/>
      <c r="G187" s="18" t="n"/>
      <c r="H187" s="30" t="n"/>
      <c r="I187" s="18" t="n"/>
      <c r="J187" s="5" t="n"/>
      <c r="K187">
        <f>IF($A187="","",$A187&amp;"|"&amp;COUNTIF($A$2:$A187,$A187))</f>
        <v/>
      </c>
      <c r="L187">
        <f>IF($G187="","",$G187&amp;IF($H187="",""," / "&amp;$H187)&amp;IF($I187="",""," / "&amp;$I187))</f>
        <v/>
      </c>
    </row>
    <row r="188">
      <c r="A188" s="18" t="n"/>
      <c r="B188" s="18" t="n"/>
      <c r="C188" s="18" t="n"/>
      <c r="D188" s="30" t="n"/>
      <c r="E188" s="18" t="n"/>
      <c r="F188" s="5" t="n"/>
      <c r="G188" s="18" t="n"/>
      <c r="H188" s="30" t="n"/>
      <c r="I188" s="18" t="n"/>
      <c r="J188" s="5" t="n"/>
      <c r="K188">
        <f>IF($A188="","",$A188&amp;"|"&amp;COUNTIF($A$2:$A188,$A188))</f>
        <v/>
      </c>
      <c r="L188">
        <f>IF($G188="","",$G188&amp;IF($H188="",""," / "&amp;$H188)&amp;IF($I188="",""," / "&amp;$I188))</f>
        <v/>
      </c>
    </row>
    <row r="189">
      <c r="A189" s="18" t="n"/>
      <c r="B189" s="18" t="n"/>
      <c r="C189" s="18" t="n"/>
      <c r="D189" s="30" t="n"/>
      <c r="E189" s="18" t="n"/>
      <c r="F189" s="5" t="n"/>
      <c r="G189" s="18" t="n"/>
      <c r="H189" s="30" t="n"/>
      <c r="I189" s="18" t="n"/>
      <c r="J189" s="5" t="n"/>
      <c r="K189">
        <f>IF($A189="","",$A189&amp;"|"&amp;COUNTIF($A$2:$A189,$A189))</f>
        <v/>
      </c>
      <c r="L189">
        <f>IF($G189="","",$G189&amp;IF($H189="",""," / "&amp;$H189)&amp;IF($I189="",""," / "&amp;$I189))</f>
        <v/>
      </c>
    </row>
    <row r="190">
      <c r="A190" s="18" t="n"/>
      <c r="B190" s="18" t="n"/>
      <c r="C190" s="18" t="n"/>
      <c r="D190" s="30" t="n"/>
      <c r="E190" s="18" t="n"/>
      <c r="F190" s="5" t="n"/>
      <c r="G190" s="18" t="n"/>
      <c r="H190" s="30" t="n"/>
      <c r="I190" s="18" t="n"/>
      <c r="J190" s="5" t="n"/>
      <c r="K190">
        <f>IF($A190="","",$A190&amp;"|"&amp;COUNTIF($A$2:$A190,$A190))</f>
        <v/>
      </c>
      <c r="L190">
        <f>IF($G190="","",$G190&amp;IF($H190="",""," / "&amp;$H190)&amp;IF($I190="",""," / "&amp;$I190))</f>
        <v/>
      </c>
    </row>
    <row r="191">
      <c r="A191" s="18" t="n"/>
      <c r="B191" s="18" t="n"/>
      <c r="C191" s="18" t="n"/>
      <c r="D191" s="30" t="n"/>
      <c r="E191" s="18" t="n"/>
      <c r="F191" s="5" t="n"/>
      <c r="G191" s="18" t="n"/>
      <c r="H191" s="30" t="n"/>
      <c r="I191" s="18" t="n"/>
      <c r="J191" s="5" t="n"/>
      <c r="K191">
        <f>IF($A191="","",$A191&amp;"|"&amp;COUNTIF($A$2:$A191,$A191))</f>
        <v/>
      </c>
      <c r="L191">
        <f>IF($G191="","",$G191&amp;IF($H191="",""," / "&amp;$H191)&amp;IF($I191="",""," / "&amp;$I191))</f>
        <v/>
      </c>
    </row>
    <row r="192">
      <c r="A192" s="18" t="n"/>
      <c r="B192" s="18" t="n"/>
      <c r="C192" s="18" t="n"/>
      <c r="D192" s="30" t="n"/>
      <c r="E192" s="18" t="n"/>
      <c r="F192" s="5" t="n"/>
      <c r="G192" s="18" t="n"/>
      <c r="H192" s="30" t="n"/>
      <c r="I192" s="18" t="n"/>
      <c r="J192" s="5" t="n"/>
      <c r="K192">
        <f>IF($A192="","",$A192&amp;"|"&amp;COUNTIF($A$2:$A192,$A192))</f>
        <v/>
      </c>
      <c r="L192">
        <f>IF($G192="","",$G192&amp;IF($H192="",""," / "&amp;$H192)&amp;IF($I192="",""," / "&amp;$I192))</f>
        <v/>
      </c>
    </row>
    <row r="193">
      <c r="A193" s="18" t="n"/>
      <c r="B193" s="18" t="n"/>
      <c r="C193" s="18" t="n"/>
      <c r="D193" s="30" t="n"/>
      <c r="E193" s="18" t="n"/>
      <c r="F193" s="5" t="n"/>
      <c r="G193" s="18" t="n"/>
      <c r="H193" s="30" t="n"/>
      <c r="I193" s="18" t="n"/>
      <c r="J193" s="5" t="n"/>
      <c r="K193">
        <f>IF($A193="","",$A193&amp;"|"&amp;COUNTIF($A$2:$A193,$A193))</f>
        <v/>
      </c>
      <c r="L193">
        <f>IF($G193="","",$G193&amp;IF($H193="",""," / "&amp;$H193)&amp;IF($I193="",""," / "&amp;$I193))</f>
        <v/>
      </c>
    </row>
    <row r="194">
      <c r="A194" s="18" t="n"/>
      <c r="B194" s="18" t="n"/>
      <c r="C194" s="18" t="n"/>
      <c r="D194" s="30" t="n"/>
      <c r="E194" s="18" t="n"/>
      <c r="F194" s="5" t="n"/>
      <c r="G194" s="18" t="n"/>
      <c r="H194" s="30" t="n"/>
      <c r="I194" s="18" t="n"/>
      <c r="J194" s="5" t="n"/>
      <c r="K194">
        <f>IF($A194="","",$A194&amp;"|"&amp;COUNTIF($A$2:$A194,$A194))</f>
        <v/>
      </c>
      <c r="L194">
        <f>IF($G194="","",$G194&amp;IF($H194="",""," / "&amp;$H194)&amp;IF($I194="",""," / "&amp;$I194))</f>
        <v/>
      </c>
    </row>
    <row r="195">
      <c r="A195" s="18" t="n"/>
      <c r="B195" s="18" t="n"/>
      <c r="C195" s="18" t="n"/>
      <c r="D195" s="30" t="n"/>
      <c r="E195" s="18" t="n"/>
      <c r="F195" s="5" t="n"/>
      <c r="G195" s="18" t="n"/>
      <c r="H195" s="30" t="n"/>
      <c r="I195" s="18" t="n"/>
      <c r="J195" s="5" t="n"/>
      <c r="K195">
        <f>IF($A195="","",$A195&amp;"|"&amp;COUNTIF($A$2:$A195,$A195))</f>
        <v/>
      </c>
      <c r="L195">
        <f>IF($G195="","",$G195&amp;IF($H195="",""," / "&amp;$H195)&amp;IF($I195="",""," / "&amp;$I195))</f>
        <v/>
      </c>
    </row>
    <row r="196">
      <c r="A196" s="18" t="n"/>
      <c r="B196" s="18" t="n"/>
      <c r="C196" s="18" t="n"/>
      <c r="D196" s="30" t="n"/>
      <c r="E196" s="18" t="n"/>
      <c r="F196" s="5" t="n"/>
      <c r="G196" s="18" t="n"/>
      <c r="H196" s="30" t="n"/>
      <c r="I196" s="18" t="n"/>
      <c r="J196" s="5" t="n"/>
      <c r="K196">
        <f>IF($A196="","",$A196&amp;"|"&amp;COUNTIF($A$2:$A196,$A196))</f>
        <v/>
      </c>
      <c r="L196">
        <f>IF($G196="","",$G196&amp;IF($H196="",""," / "&amp;$H196)&amp;IF($I196="",""," / "&amp;$I196))</f>
        <v/>
      </c>
    </row>
    <row r="197">
      <c r="A197" s="18" t="n"/>
      <c r="B197" s="18" t="n"/>
      <c r="C197" s="18" t="n"/>
      <c r="D197" s="30" t="n"/>
      <c r="E197" s="18" t="n"/>
      <c r="F197" s="5" t="n"/>
      <c r="G197" s="18" t="n"/>
      <c r="H197" s="30" t="n"/>
      <c r="I197" s="18" t="n"/>
      <c r="J197" s="5" t="n"/>
      <c r="K197">
        <f>IF($A197="","",$A197&amp;"|"&amp;COUNTIF($A$2:$A197,$A197))</f>
        <v/>
      </c>
      <c r="L197">
        <f>IF($G197="","",$G197&amp;IF($H197="",""," / "&amp;$H197)&amp;IF($I197="",""," / "&amp;$I197))</f>
        <v/>
      </c>
    </row>
    <row r="198">
      <c r="A198" s="18" t="n"/>
      <c r="B198" s="18" t="n"/>
      <c r="C198" s="18" t="n"/>
      <c r="D198" s="30" t="n"/>
      <c r="E198" s="18" t="n"/>
      <c r="F198" s="5" t="n"/>
      <c r="G198" s="18" t="n"/>
      <c r="H198" s="30" t="n"/>
      <c r="I198" s="18" t="n"/>
      <c r="J198" s="5" t="n"/>
      <c r="K198">
        <f>IF($A198="","",$A198&amp;"|"&amp;COUNTIF($A$2:$A198,$A198))</f>
        <v/>
      </c>
      <c r="L198">
        <f>IF($G198="","",$G198&amp;IF($H198="",""," / "&amp;$H198)&amp;IF($I198="",""," / "&amp;$I198))</f>
        <v/>
      </c>
    </row>
    <row r="199">
      <c r="A199" s="18" t="n"/>
      <c r="B199" s="18" t="n"/>
      <c r="C199" s="18" t="n"/>
      <c r="D199" s="30" t="n"/>
      <c r="E199" s="18" t="n"/>
      <c r="F199" s="5" t="n"/>
      <c r="G199" s="18" t="n"/>
      <c r="H199" s="30" t="n"/>
      <c r="I199" s="18" t="n"/>
      <c r="J199" s="5" t="n"/>
      <c r="K199">
        <f>IF($A199="","",$A199&amp;"|"&amp;COUNTIF($A$2:$A199,$A199))</f>
        <v/>
      </c>
      <c r="L199">
        <f>IF($G199="","",$G199&amp;IF($H199="",""," / "&amp;$H199)&amp;IF($I199="",""," / "&amp;$I199))</f>
        <v/>
      </c>
    </row>
    <row r="200">
      <c r="A200" s="18" t="n"/>
      <c r="B200" s="18" t="n"/>
      <c r="C200" s="18" t="n"/>
      <c r="D200" s="30" t="n"/>
      <c r="E200" s="18" t="n"/>
      <c r="F200" s="5" t="n"/>
      <c r="G200" s="18" t="n"/>
      <c r="H200" s="30" t="n"/>
      <c r="I200" s="18" t="n"/>
      <c r="J200" s="5" t="n"/>
      <c r="K200">
        <f>IF($A200="","",$A200&amp;"|"&amp;COUNTIF($A$2:$A200,$A200))</f>
        <v/>
      </c>
      <c r="L200">
        <f>IF($G200="","",$G200&amp;IF($H200="",""," / "&amp;$H200)&amp;IF($I200="",""," / "&amp;$I200))</f>
        <v/>
      </c>
    </row>
    <row r="201">
      <c r="A201" s="18" t="n"/>
      <c r="B201" s="18" t="n"/>
      <c r="C201" s="18" t="n"/>
      <c r="D201" s="30" t="n"/>
      <c r="E201" s="18" t="n"/>
      <c r="F201" s="5" t="n"/>
      <c r="G201" s="18" t="n"/>
      <c r="H201" s="30" t="n"/>
      <c r="I201" s="18" t="n"/>
      <c r="J201" s="5" t="n"/>
      <c r="K201">
        <f>IF($A201="","",$A201&amp;"|"&amp;COUNTIF($A$2:$A201,$A201))</f>
        <v/>
      </c>
      <c r="L201">
        <f>IF($G201="","",$G201&amp;IF($H201="",""," / "&amp;$H201)&amp;IF($I201="",""," / "&amp;$I201))</f>
        <v/>
      </c>
    </row>
    <row r="202">
      <c r="A202" s="18" t="n"/>
      <c r="B202" s="18" t="n"/>
      <c r="C202" s="18" t="n"/>
      <c r="D202" s="30" t="n"/>
      <c r="E202" s="18" t="n"/>
      <c r="F202" s="5" t="n"/>
      <c r="G202" s="18" t="n"/>
      <c r="H202" s="30" t="n"/>
      <c r="I202" s="18" t="n"/>
      <c r="J202" s="5" t="n"/>
      <c r="K202">
        <f>IF($A202="","",$A202&amp;"|"&amp;COUNTIF($A$2:$A202,$A202))</f>
        <v/>
      </c>
      <c r="L202">
        <f>IF($G202="","",$G202&amp;IF($H202="",""," / "&amp;$H202)&amp;IF($I202="",""," / "&amp;$I202))</f>
        <v/>
      </c>
    </row>
    <row r="203">
      <c r="A203" s="18" t="n"/>
      <c r="B203" s="18" t="n"/>
      <c r="C203" s="18" t="n"/>
      <c r="D203" s="30" t="n"/>
      <c r="E203" s="18" t="n"/>
      <c r="F203" s="5" t="n"/>
      <c r="G203" s="18" t="n"/>
      <c r="H203" s="30" t="n"/>
      <c r="I203" s="18" t="n"/>
      <c r="J203" s="5" t="n"/>
      <c r="K203">
        <f>IF($A203="","",$A203&amp;"|"&amp;COUNTIF($A$2:$A203,$A203))</f>
        <v/>
      </c>
      <c r="L203">
        <f>IF($G203="","",$G203&amp;IF($H203="",""," / "&amp;$H203)&amp;IF($I203="",""," / "&amp;$I203))</f>
        <v/>
      </c>
    </row>
    <row r="204">
      <c r="A204" s="18" t="n"/>
      <c r="B204" s="18" t="n"/>
      <c r="C204" s="18" t="n"/>
      <c r="D204" s="30" t="n"/>
      <c r="E204" s="18" t="n"/>
      <c r="F204" s="5" t="n"/>
      <c r="G204" s="18" t="n"/>
      <c r="H204" s="30" t="n"/>
      <c r="I204" s="18" t="n"/>
      <c r="J204" s="5" t="n"/>
      <c r="K204">
        <f>IF($A204="","",$A204&amp;"|"&amp;COUNTIF($A$2:$A204,$A204))</f>
        <v/>
      </c>
      <c r="L204">
        <f>IF($G204="","",$G204&amp;IF($H204="",""," / "&amp;$H204)&amp;IF($I204="",""," / "&amp;$I204))</f>
        <v/>
      </c>
    </row>
    <row r="205">
      <c r="A205" s="18" t="n"/>
      <c r="B205" s="18" t="n"/>
      <c r="C205" s="18" t="n"/>
      <c r="D205" s="30" t="n"/>
      <c r="E205" s="18" t="n"/>
      <c r="F205" s="5" t="n"/>
      <c r="G205" s="18" t="n"/>
      <c r="H205" s="30" t="n"/>
      <c r="I205" s="18" t="n"/>
      <c r="J205" s="5" t="n"/>
      <c r="K205">
        <f>IF($A205="","",$A205&amp;"|"&amp;COUNTIF($A$2:$A205,$A205))</f>
        <v/>
      </c>
      <c r="L205">
        <f>IF($G205="","",$G205&amp;IF($H205="",""," / "&amp;$H205)&amp;IF($I205="",""," / "&amp;$I205))</f>
        <v/>
      </c>
    </row>
    <row r="206">
      <c r="A206" s="18" t="n"/>
      <c r="B206" s="18" t="n"/>
      <c r="C206" s="18" t="n"/>
      <c r="D206" s="30" t="n"/>
      <c r="E206" s="18" t="n"/>
      <c r="F206" s="5" t="n"/>
      <c r="G206" s="18" t="n"/>
      <c r="H206" s="30" t="n"/>
      <c r="I206" s="18" t="n"/>
      <c r="J206" s="5" t="n"/>
      <c r="K206">
        <f>IF($A206="","",$A206&amp;"|"&amp;COUNTIF($A$2:$A206,$A206))</f>
        <v/>
      </c>
      <c r="L206">
        <f>IF($G206="","",$G206&amp;IF($H206="",""," / "&amp;$H206)&amp;IF($I206="",""," / "&amp;$I206))</f>
        <v/>
      </c>
    </row>
    <row r="207">
      <c r="A207" s="18" t="n"/>
      <c r="B207" s="18" t="n"/>
      <c r="C207" s="18" t="n"/>
      <c r="D207" s="30" t="n"/>
      <c r="E207" s="18" t="n"/>
      <c r="F207" s="5" t="n"/>
      <c r="G207" s="18" t="n"/>
      <c r="H207" s="30" t="n"/>
      <c r="I207" s="18" t="n"/>
      <c r="J207" s="5" t="n"/>
      <c r="K207">
        <f>IF($A207="","",$A207&amp;"|"&amp;COUNTIF($A$2:$A207,$A207))</f>
        <v/>
      </c>
      <c r="L207">
        <f>IF($G207="","",$G207&amp;IF($H207="",""," / "&amp;$H207)&amp;IF($I207="",""," / "&amp;$I207))</f>
        <v/>
      </c>
    </row>
    <row r="208">
      <c r="A208" s="18" t="n"/>
      <c r="B208" s="18" t="n"/>
      <c r="C208" s="18" t="n"/>
      <c r="D208" s="30" t="n"/>
      <c r="E208" s="18" t="n"/>
      <c r="F208" s="5" t="n"/>
      <c r="G208" s="18" t="n"/>
      <c r="H208" s="30" t="n"/>
      <c r="I208" s="18" t="n"/>
      <c r="J208" s="5" t="n"/>
      <c r="K208">
        <f>IF($A208="","",$A208&amp;"|"&amp;COUNTIF($A$2:$A208,$A208))</f>
        <v/>
      </c>
      <c r="L208">
        <f>IF($G208="","",$G208&amp;IF($H208="",""," / "&amp;$H208)&amp;IF($I208="",""," / "&amp;$I208))</f>
        <v/>
      </c>
    </row>
    <row r="209">
      <c r="A209" s="18" t="n"/>
      <c r="B209" s="18" t="n"/>
      <c r="C209" s="18" t="n"/>
      <c r="D209" s="30" t="n"/>
      <c r="E209" s="18" t="n"/>
      <c r="F209" s="5" t="n"/>
      <c r="G209" s="18" t="n"/>
      <c r="H209" s="30" t="n"/>
      <c r="I209" s="18" t="n"/>
      <c r="J209" s="5" t="n"/>
      <c r="K209">
        <f>IF($A209="","",$A209&amp;"|"&amp;COUNTIF($A$2:$A209,$A209))</f>
        <v/>
      </c>
      <c r="L209">
        <f>IF($G209="","",$G209&amp;IF($H209="",""," / "&amp;$H209)&amp;IF($I209="",""," / "&amp;$I209))</f>
        <v/>
      </c>
    </row>
    <row r="210">
      <c r="A210" s="18" t="n"/>
      <c r="B210" s="18" t="n"/>
      <c r="C210" s="18" t="n"/>
      <c r="D210" s="30" t="n"/>
      <c r="E210" s="18" t="n"/>
      <c r="F210" s="5" t="n"/>
      <c r="G210" s="18" t="n"/>
      <c r="H210" s="30" t="n"/>
      <c r="I210" s="18" t="n"/>
      <c r="J210" s="5" t="n"/>
      <c r="K210">
        <f>IF($A210="","",$A210&amp;"|"&amp;COUNTIF($A$2:$A210,$A210))</f>
        <v/>
      </c>
      <c r="L210">
        <f>IF($G210="","",$G210&amp;IF($H210="",""," / "&amp;$H210)&amp;IF($I210="",""," / "&amp;$I210))</f>
        <v/>
      </c>
    </row>
    <row r="211">
      <c r="A211" s="18" t="n"/>
      <c r="B211" s="18" t="n"/>
      <c r="C211" s="18" t="n"/>
      <c r="D211" s="30" t="n"/>
      <c r="E211" s="18" t="n"/>
      <c r="F211" s="5" t="n"/>
      <c r="G211" s="18" t="n"/>
      <c r="H211" s="30" t="n"/>
      <c r="I211" s="18" t="n"/>
      <c r="J211" s="5" t="n"/>
      <c r="K211">
        <f>IF($A211="","",$A211&amp;"|"&amp;COUNTIF($A$2:$A211,$A211))</f>
        <v/>
      </c>
      <c r="L211">
        <f>IF($G211="","",$G211&amp;IF($H211="",""," / "&amp;$H211)&amp;IF($I211="",""," / "&amp;$I211))</f>
        <v/>
      </c>
    </row>
    <row r="212">
      <c r="A212" s="18" t="n"/>
      <c r="B212" s="18" t="n"/>
      <c r="C212" s="18" t="n"/>
      <c r="D212" s="30" t="n"/>
      <c r="E212" s="18" t="n"/>
      <c r="F212" s="5" t="n"/>
      <c r="G212" s="18" t="n"/>
      <c r="H212" s="30" t="n"/>
      <c r="I212" s="18" t="n"/>
      <c r="J212" s="5" t="n"/>
      <c r="K212">
        <f>IF($A212="","",$A212&amp;"|"&amp;COUNTIF($A$2:$A212,$A212))</f>
        <v/>
      </c>
      <c r="L212">
        <f>IF($G212="","",$G212&amp;IF($H212="",""," / "&amp;$H212)&amp;IF($I212="",""," / "&amp;$I212))</f>
        <v/>
      </c>
    </row>
    <row r="213">
      <c r="A213" s="18" t="n"/>
      <c r="B213" s="18" t="n"/>
      <c r="C213" s="18" t="n"/>
      <c r="D213" s="30" t="n"/>
      <c r="E213" s="18" t="n"/>
      <c r="F213" s="5" t="n"/>
      <c r="G213" s="18" t="n"/>
      <c r="H213" s="30" t="n"/>
      <c r="I213" s="18" t="n"/>
      <c r="J213" s="5" t="n"/>
      <c r="K213">
        <f>IF($A213="","",$A213&amp;"|"&amp;COUNTIF($A$2:$A213,$A213))</f>
        <v/>
      </c>
      <c r="L213">
        <f>IF($G213="","",$G213&amp;IF($H213="",""," / "&amp;$H213)&amp;IF($I213="",""," / "&amp;$I213))</f>
        <v/>
      </c>
    </row>
    <row r="214">
      <c r="A214" s="18" t="n"/>
      <c r="B214" s="18" t="n"/>
      <c r="C214" s="18" t="n"/>
      <c r="D214" s="30" t="n"/>
      <c r="E214" s="18" t="n"/>
      <c r="F214" s="5" t="n"/>
      <c r="G214" s="18" t="n"/>
      <c r="H214" s="30" t="n"/>
      <c r="I214" s="18" t="n"/>
      <c r="J214" s="5" t="n"/>
      <c r="K214">
        <f>IF($A214="","",$A214&amp;"|"&amp;COUNTIF($A$2:$A214,$A214))</f>
        <v/>
      </c>
      <c r="L214">
        <f>IF($G214="","",$G214&amp;IF($H214="",""," / "&amp;$H214)&amp;IF($I214="",""," / "&amp;$I214))</f>
        <v/>
      </c>
    </row>
    <row r="215">
      <c r="A215" s="18" t="n"/>
      <c r="B215" s="18" t="n"/>
      <c r="C215" s="18" t="n"/>
      <c r="D215" s="30" t="n"/>
      <c r="E215" s="18" t="n"/>
      <c r="F215" s="5" t="n"/>
      <c r="G215" s="18" t="n"/>
      <c r="H215" s="30" t="n"/>
      <c r="I215" s="18" t="n"/>
      <c r="J215" s="5" t="n"/>
      <c r="K215">
        <f>IF($A215="","",$A215&amp;"|"&amp;COUNTIF($A$2:$A215,$A215))</f>
        <v/>
      </c>
      <c r="L215">
        <f>IF($G215="","",$G215&amp;IF($H215="",""," / "&amp;$H215)&amp;IF($I215="",""," / "&amp;$I215))</f>
        <v/>
      </c>
    </row>
    <row r="216">
      <c r="A216" s="18" t="n"/>
      <c r="B216" s="18" t="n"/>
      <c r="C216" s="18" t="n"/>
      <c r="D216" s="30" t="n"/>
      <c r="E216" s="18" t="n"/>
      <c r="F216" s="5" t="n"/>
      <c r="G216" s="18" t="n"/>
      <c r="H216" s="30" t="n"/>
      <c r="I216" s="18" t="n"/>
      <c r="J216" s="5" t="n"/>
      <c r="K216">
        <f>IF($A216="","",$A216&amp;"|"&amp;COUNTIF($A$2:$A216,$A216))</f>
        <v/>
      </c>
      <c r="L216">
        <f>IF($G216="","",$G216&amp;IF($H216="",""," / "&amp;$H216)&amp;IF($I216="",""," / "&amp;$I216))</f>
        <v/>
      </c>
    </row>
    <row r="217">
      <c r="A217" s="18" t="n"/>
      <c r="B217" s="18" t="n"/>
      <c r="C217" s="18" t="n"/>
      <c r="D217" s="30" t="n"/>
      <c r="E217" s="18" t="n"/>
      <c r="F217" s="5" t="n"/>
      <c r="G217" s="18" t="n"/>
      <c r="H217" s="30" t="n"/>
      <c r="I217" s="18" t="n"/>
      <c r="J217" s="5" t="n"/>
      <c r="K217">
        <f>IF($A217="","",$A217&amp;"|"&amp;COUNTIF($A$2:$A217,$A217))</f>
        <v/>
      </c>
      <c r="L217">
        <f>IF($G217="","",$G217&amp;IF($H217="",""," / "&amp;$H217)&amp;IF($I217="",""," / "&amp;$I217))</f>
        <v/>
      </c>
    </row>
    <row r="218">
      <c r="A218" s="18" t="n"/>
      <c r="B218" s="18" t="n"/>
      <c r="C218" s="18" t="n"/>
      <c r="D218" s="30" t="n"/>
      <c r="E218" s="18" t="n"/>
      <c r="F218" s="5" t="n"/>
      <c r="G218" s="18" t="n"/>
      <c r="H218" s="30" t="n"/>
      <c r="I218" s="18" t="n"/>
      <c r="J218" s="5" t="n"/>
      <c r="K218">
        <f>IF($A218="","",$A218&amp;"|"&amp;COUNTIF($A$2:$A218,$A218))</f>
        <v/>
      </c>
      <c r="L218">
        <f>IF($G218="","",$G218&amp;IF($H218="",""," / "&amp;$H218)&amp;IF($I218="",""," / "&amp;$I218))</f>
        <v/>
      </c>
    </row>
    <row r="219">
      <c r="A219" s="18" t="n"/>
      <c r="B219" s="18" t="n"/>
      <c r="C219" s="18" t="n"/>
      <c r="D219" s="30" t="n"/>
      <c r="E219" s="18" t="n"/>
      <c r="F219" s="5" t="n"/>
      <c r="G219" s="18" t="n"/>
      <c r="H219" s="30" t="n"/>
      <c r="I219" s="18" t="n"/>
      <c r="J219" s="5" t="n"/>
      <c r="K219">
        <f>IF($A219="","",$A219&amp;"|"&amp;COUNTIF($A$2:$A219,$A219))</f>
        <v/>
      </c>
      <c r="L219">
        <f>IF($G219="","",$G219&amp;IF($H219="",""," / "&amp;$H219)&amp;IF($I219="",""," / "&amp;$I219))</f>
        <v/>
      </c>
    </row>
    <row r="220">
      <c r="A220" s="18" t="n"/>
      <c r="B220" s="18" t="n"/>
      <c r="C220" s="18" t="n"/>
      <c r="D220" s="30" t="n"/>
      <c r="E220" s="18" t="n"/>
      <c r="F220" s="5" t="n"/>
      <c r="G220" s="18" t="n"/>
      <c r="H220" s="30" t="n"/>
      <c r="I220" s="18" t="n"/>
      <c r="J220" s="5" t="n"/>
      <c r="K220">
        <f>IF($A220="","",$A220&amp;"|"&amp;COUNTIF($A$2:$A220,$A220))</f>
        <v/>
      </c>
      <c r="L220">
        <f>IF($G220="","",$G220&amp;IF($H220="",""," / "&amp;$H220)&amp;IF($I220="",""," / "&amp;$I220))</f>
        <v/>
      </c>
    </row>
    <row r="221">
      <c r="A221" s="18" t="n"/>
      <c r="B221" s="18" t="n"/>
      <c r="C221" s="18" t="n"/>
      <c r="D221" s="30" t="n"/>
      <c r="E221" s="18" t="n"/>
      <c r="F221" s="5" t="n"/>
      <c r="G221" s="18" t="n"/>
      <c r="H221" s="30" t="n"/>
      <c r="I221" s="18" t="n"/>
      <c r="J221" s="5" t="n"/>
      <c r="K221">
        <f>IF($A221="","",$A221&amp;"|"&amp;COUNTIF($A$2:$A221,$A221))</f>
        <v/>
      </c>
      <c r="L221">
        <f>IF($G221="","",$G221&amp;IF($H221="",""," / "&amp;$H221)&amp;IF($I221="",""," / "&amp;$I221))</f>
        <v/>
      </c>
    </row>
    <row r="222">
      <c r="A222" s="18" t="n"/>
      <c r="B222" s="18" t="n"/>
      <c r="C222" s="18" t="n"/>
      <c r="D222" s="30" t="n"/>
      <c r="E222" s="18" t="n"/>
      <c r="F222" s="5" t="n"/>
      <c r="G222" s="18" t="n"/>
      <c r="H222" s="30" t="n"/>
      <c r="I222" s="18" t="n"/>
      <c r="J222" s="5" t="n"/>
      <c r="K222">
        <f>IF($A222="","",$A222&amp;"|"&amp;COUNTIF($A$2:$A222,$A222))</f>
        <v/>
      </c>
      <c r="L222">
        <f>IF($G222="","",$G222&amp;IF($H222="",""," / "&amp;$H222)&amp;IF($I222="",""," / "&amp;$I222))</f>
        <v/>
      </c>
    </row>
    <row r="223">
      <c r="A223" s="18" t="n"/>
      <c r="B223" s="18" t="n"/>
      <c r="C223" s="18" t="n"/>
      <c r="D223" s="30" t="n"/>
      <c r="E223" s="18" t="n"/>
      <c r="F223" s="5" t="n"/>
      <c r="G223" s="18" t="n"/>
      <c r="H223" s="30" t="n"/>
      <c r="I223" s="18" t="n"/>
      <c r="J223" s="5" t="n"/>
      <c r="K223">
        <f>IF($A223="","",$A223&amp;"|"&amp;COUNTIF($A$2:$A223,$A223))</f>
        <v/>
      </c>
      <c r="L223">
        <f>IF($G223="","",$G223&amp;IF($H223="",""," / "&amp;$H223)&amp;IF($I223="",""," / "&amp;$I223))</f>
        <v/>
      </c>
    </row>
    <row r="224">
      <c r="A224" s="18" t="n"/>
      <c r="B224" s="18" t="n"/>
      <c r="C224" s="18" t="n"/>
      <c r="D224" s="30" t="n"/>
      <c r="E224" s="18" t="n"/>
      <c r="F224" s="5" t="n"/>
      <c r="G224" s="18" t="n"/>
      <c r="H224" s="30" t="n"/>
      <c r="I224" s="18" t="n"/>
      <c r="J224" s="5" t="n"/>
      <c r="K224">
        <f>IF($A224="","",$A224&amp;"|"&amp;COUNTIF($A$2:$A224,$A224))</f>
        <v/>
      </c>
      <c r="L224">
        <f>IF($G224="","",$G224&amp;IF($H224="",""," / "&amp;$H224)&amp;IF($I224="",""," / "&amp;$I224))</f>
        <v/>
      </c>
    </row>
    <row r="225">
      <c r="A225" s="18" t="n"/>
      <c r="B225" s="18" t="n"/>
      <c r="C225" s="18" t="n"/>
      <c r="D225" s="30" t="n"/>
      <c r="E225" s="18" t="n"/>
      <c r="F225" s="5" t="n"/>
      <c r="G225" s="18" t="n"/>
      <c r="H225" s="30" t="n"/>
      <c r="I225" s="18" t="n"/>
      <c r="J225" s="5" t="n"/>
      <c r="K225">
        <f>IF($A225="","",$A225&amp;"|"&amp;COUNTIF($A$2:$A225,$A225))</f>
        <v/>
      </c>
      <c r="L225">
        <f>IF($G225="","",$G225&amp;IF($H225="",""," / "&amp;$H225)&amp;IF($I225="",""," / "&amp;$I225))</f>
        <v/>
      </c>
    </row>
    <row r="226">
      <c r="A226" s="18" t="n"/>
      <c r="B226" s="18" t="n"/>
      <c r="C226" s="18" t="n"/>
      <c r="D226" s="30" t="n"/>
      <c r="E226" s="18" t="n"/>
      <c r="F226" s="5" t="n"/>
      <c r="G226" s="18" t="n"/>
      <c r="H226" s="30" t="n"/>
      <c r="I226" s="18" t="n"/>
      <c r="J226" s="5" t="n"/>
      <c r="K226">
        <f>IF($A226="","",$A226&amp;"|"&amp;COUNTIF($A$2:$A226,$A226))</f>
        <v/>
      </c>
      <c r="L226">
        <f>IF($G226="","",$G226&amp;IF($H226="",""," / "&amp;$H226)&amp;IF($I226="",""," / "&amp;$I226))</f>
        <v/>
      </c>
    </row>
    <row r="227">
      <c r="A227" s="18" t="n"/>
      <c r="B227" s="18" t="n"/>
      <c r="C227" s="18" t="n"/>
      <c r="D227" s="30" t="n"/>
      <c r="E227" s="18" t="n"/>
      <c r="F227" s="5" t="n"/>
      <c r="G227" s="18" t="n"/>
      <c r="H227" s="30" t="n"/>
      <c r="I227" s="18" t="n"/>
      <c r="J227" s="5" t="n"/>
      <c r="K227">
        <f>IF($A227="","",$A227&amp;"|"&amp;COUNTIF($A$2:$A227,$A227))</f>
        <v/>
      </c>
      <c r="L227">
        <f>IF($G227="","",$G227&amp;IF($H227="",""," / "&amp;$H227)&amp;IF($I227="",""," / "&amp;$I227))</f>
        <v/>
      </c>
    </row>
    <row r="228">
      <c r="A228" s="18" t="n"/>
      <c r="B228" s="18" t="n"/>
      <c r="C228" s="18" t="n"/>
      <c r="D228" s="30" t="n"/>
      <c r="E228" s="18" t="n"/>
      <c r="F228" s="5" t="n"/>
      <c r="G228" s="18" t="n"/>
      <c r="H228" s="30" t="n"/>
      <c r="I228" s="18" t="n"/>
      <c r="J228" s="5" t="n"/>
      <c r="K228">
        <f>IF($A228="","",$A228&amp;"|"&amp;COUNTIF($A$2:$A228,$A228))</f>
        <v/>
      </c>
      <c r="L228">
        <f>IF($G228="","",$G228&amp;IF($H228="",""," / "&amp;$H228)&amp;IF($I228="",""," / "&amp;$I228))</f>
        <v/>
      </c>
    </row>
    <row r="229">
      <c r="A229" s="18" t="n"/>
      <c r="B229" s="18" t="n"/>
      <c r="C229" s="18" t="n"/>
      <c r="D229" s="30" t="n"/>
      <c r="E229" s="18" t="n"/>
      <c r="F229" s="5" t="n"/>
      <c r="G229" s="18" t="n"/>
      <c r="H229" s="30" t="n"/>
      <c r="I229" s="18" t="n"/>
      <c r="J229" s="5" t="n"/>
      <c r="K229">
        <f>IF($A229="","",$A229&amp;"|"&amp;COUNTIF($A$2:$A229,$A229))</f>
        <v/>
      </c>
      <c r="L229">
        <f>IF($G229="","",$G229&amp;IF($H229="",""," / "&amp;$H229)&amp;IF($I229="",""," / "&amp;$I229))</f>
        <v/>
      </c>
    </row>
    <row r="230">
      <c r="A230" s="18" t="n"/>
      <c r="B230" s="18" t="n"/>
      <c r="C230" s="18" t="n"/>
      <c r="D230" s="30" t="n"/>
      <c r="E230" s="18" t="n"/>
      <c r="F230" s="5" t="n"/>
      <c r="G230" s="18" t="n"/>
      <c r="H230" s="30" t="n"/>
      <c r="I230" s="18" t="n"/>
      <c r="J230" s="5" t="n"/>
      <c r="K230">
        <f>IF($A230="","",$A230&amp;"|"&amp;COUNTIF($A$2:$A230,$A230))</f>
        <v/>
      </c>
      <c r="L230">
        <f>IF($G230="","",$G230&amp;IF($H230="",""," / "&amp;$H230)&amp;IF($I230="",""," / "&amp;$I230))</f>
        <v/>
      </c>
    </row>
    <row r="231">
      <c r="A231" s="18" t="n"/>
      <c r="B231" s="18" t="n"/>
      <c r="C231" s="18" t="n"/>
      <c r="D231" s="30" t="n"/>
      <c r="E231" s="18" t="n"/>
      <c r="F231" s="5" t="n"/>
      <c r="G231" s="18" t="n"/>
      <c r="H231" s="30" t="n"/>
      <c r="I231" s="18" t="n"/>
      <c r="J231" s="5" t="n"/>
      <c r="K231">
        <f>IF($A231="","",$A231&amp;"|"&amp;COUNTIF($A$2:$A231,$A231))</f>
        <v/>
      </c>
      <c r="L231">
        <f>IF($G231="","",$G231&amp;IF($H231="",""," / "&amp;$H231)&amp;IF($I231="",""," / "&amp;$I231))</f>
        <v/>
      </c>
    </row>
    <row r="232">
      <c r="A232" s="18" t="n"/>
      <c r="B232" s="18" t="n"/>
      <c r="C232" s="18" t="n"/>
      <c r="D232" s="30" t="n"/>
      <c r="E232" s="18" t="n"/>
      <c r="F232" s="5" t="n"/>
      <c r="G232" s="18" t="n"/>
      <c r="H232" s="30" t="n"/>
      <c r="I232" s="18" t="n"/>
      <c r="J232" s="5" t="n"/>
      <c r="K232">
        <f>IF($A232="","",$A232&amp;"|"&amp;COUNTIF($A$2:$A232,$A232))</f>
        <v/>
      </c>
      <c r="L232">
        <f>IF($G232="","",$G232&amp;IF($H232="",""," / "&amp;$H232)&amp;IF($I232="",""," / "&amp;$I232))</f>
        <v/>
      </c>
    </row>
    <row r="233">
      <c r="A233" s="18" t="n"/>
      <c r="B233" s="18" t="n"/>
      <c r="C233" s="18" t="n"/>
      <c r="D233" s="30" t="n"/>
      <c r="E233" s="18" t="n"/>
      <c r="F233" s="5" t="n"/>
      <c r="G233" s="18" t="n"/>
      <c r="H233" s="30" t="n"/>
      <c r="I233" s="18" t="n"/>
      <c r="J233" s="5" t="n"/>
      <c r="K233">
        <f>IF($A233="","",$A233&amp;"|"&amp;COUNTIF($A$2:$A233,$A233))</f>
        <v/>
      </c>
      <c r="L233">
        <f>IF($G233="","",$G233&amp;IF($H233="",""," / "&amp;$H233)&amp;IF($I233="",""," / "&amp;$I233))</f>
        <v/>
      </c>
    </row>
    <row r="234">
      <c r="A234" s="18" t="n"/>
      <c r="B234" s="18" t="n"/>
      <c r="C234" s="18" t="n"/>
      <c r="D234" s="30" t="n"/>
      <c r="E234" s="18" t="n"/>
      <c r="F234" s="5" t="n"/>
      <c r="G234" s="18" t="n"/>
      <c r="H234" s="30" t="n"/>
      <c r="I234" s="18" t="n"/>
      <c r="J234" s="5" t="n"/>
      <c r="K234">
        <f>IF($A234="","",$A234&amp;"|"&amp;COUNTIF($A$2:$A234,$A234))</f>
        <v/>
      </c>
      <c r="L234">
        <f>IF($G234="","",$G234&amp;IF($H234="",""," / "&amp;$H234)&amp;IF($I234="",""," / "&amp;$I234))</f>
        <v/>
      </c>
    </row>
    <row r="235">
      <c r="A235" s="18" t="n"/>
      <c r="B235" s="18" t="n"/>
      <c r="C235" s="18" t="n"/>
      <c r="D235" s="30" t="n"/>
      <c r="E235" s="18" t="n"/>
      <c r="F235" s="5" t="n"/>
      <c r="G235" s="18" t="n"/>
      <c r="H235" s="30" t="n"/>
      <c r="I235" s="18" t="n"/>
      <c r="J235" s="5" t="n"/>
      <c r="K235">
        <f>IF($A235="","",$A235&amp;"|"&amp;COUNTIF($A$2:$A235,$A235))</f>
        <v/>
      </c>
      <c r="L235">
        <f>IF($G235="","",$G235&amp;IF($H235="",""," / "&amp;$H235)&amp;IF($I235="",""," / "&amp;$I235))</f>
        <v/>
      </c>
    </row>
    <row r="236">
      <c r="A236" s="18" t="n"/>
      <c r="B236" s="18" t="n"/>
      <c r="C236" s="18" t="n"/>
      <c r="D236" s="30" t="n"/>
      <c r="E236" s="18" t="n"/>
      <c r="F236" s="5" t="n"/>
      <c r="G236" s="18" t="n"/>
      <c r="H236" s="30" t="n"/>
      <c r="I236" s="18" t="n"/>
      <c r="J236" s="5" t="n"/>
      <c r="K236">
        <f>IF($A236="","",$A236&amp;"|"&amp;COUNTIF($A$2:$A236,$A236))</f>
        <v/>
      </c>
      <c r="L236">
        <f>IF($G236="","",$G236&amp;IF($H236="",""," / "&amp;$H236)&amp;IF($I236="",""," / "&amp;$I236))</f>
        <v/>
      </c>
    </row>
    <row r="237">
      <c r="A237" s="18" t="n"/>
      <c r="B237" s="18" t="n"/>
      <c r="C237" s="18" t="n"/>
      <c r="D237" s="30" t="n"/>
      <c r="E237" s="18" t="n"/>
      <c r="F237" s="5" t="n"/>
      <c r="G237" s="18" t="n"/>
      <c r="H237" s="30" t="n"/>
      <c r="I237" s="18" t="n"/>
      <c r="J237" s="5" t="n"/>
      <c r="K237">
        <f>IF($A237="","",$A237&amp;"|"&amp;COUNTIF($A$2:$A237,$A237))</f>
        <v/>
      </c>
      <c r="L237">
        <f>IF($G237="","",$G237&amp;IF($H237="",""," / "&amp;$H237)&amp;IF($I237="",""," / "&amp;$I237))</f>
        <v/>
      </c>
    </row>
    <row r="238">
      <c r="A238" s="18" t="n"/>
      <c r="B238" s="18" t="n"/>
      <c r="C238" s="18" t="n"/>
      <c r="D238" s="30" t="n"/>
      <c r="E238" s="18" t="n"/>
      <c r="F238" s="5" t="n"/>
      <c r="G238" s="18" t="n"/>
      <c r="H238" s="30" t="n"/>
      <c r="I238" s="18" t="n"/>
      <c r="J238" s="5" t="n"/>
      <c r="K238">
        <f>IF($A238="","",$A238&amp;"|"&amp;COUNTIF($A$2:$A238,$A238))</f>
        <v/>
      </c>
      <c r="L238">
        <f>IF($G238="","",$G238&amp;IF($H238="",""," / "&amp;$H238)&amp;IF($I238="",""," / "&amp;$I238))</f>
        <v/>
      </c>
    </row>
    <row r="239">
      <c r="A239" s="18" t="n"/>
      <c r="B239" s="18" t="n"/>
      <c r="C239" s="18" t="n"/>
      <c r="D239" s="30" t="n"/>
      <c r="E239" s="18" t="n"/>
      <c r="F239" s="5" t="n"/>
      <c r="G239" s="18" t="n"/>
      <c r="H239" s="30" t="n"/>
      <c r="I239" s="18" t="n"/>
      <c r="J239" s="5" t="n"/>
      <c r="K239">
        <f>IF($A239="","",$A239&amp;"|"&amp;COUNTIF($A$2:$A239,$A239))</f>
        <v/>
      </c>
      <c r="L239">
        <f>IF($G239="","",$G239&amp;IF($H239="",""," / "&amp;$H239)&amp;IF($I239="",""," / "&amp;$I239))</f>
        <v/>
      </c>
    </row>
    <row r="240">
      <c r="A240" s="18" t="n"/>
      <c r="B240" s="18" t="n"/>
      <c r="C240" s="18" t="n"/>
      <c r="D240" s="30" t="n"/>
      <c r="E240" s="18" t="n"/>
      <c r="F240" s="5" t="n"/>
      <c r="G240" s="18" t="n"/>
      <c r="H240" s="30" t="n"/>
      <c r="I240" s="18" t="n"/>
      <c r="J240" s="5" t="n"/>
      <c r="K240">
        <f>IF($A240="","",$A240&amp;"|"&amp;COUNTIF($A$2:$A240,$A240))</f>
        <v/>
      </c>
      <c r="L240">
        <f>IF($G240="","",$G240&amp;IF($H240="",""," / "&amp;$H240)&amp;IF($I240="",""," / "&amp;$I240))</f>
        <v/>
      </c>
    </row>
    <row r="241">
      <c r="A241" s="18" t="n"/>
      <c r="B241" s="18" t="n"/>
      <c r="C241" s="18" t="n"/>
      <c r="D241" s="30" t="n"/>
      <c r="E241" s="18" t="n"/>
      <c r="F241" s="5" t="n"/>
      <c r="G241" s="18" t="n"/>
      <c r="H241" s="30" t="n"/>
      <c r="I241" s="18" t="n"/>
      <c r="J241" s="5" t="n"/>
      <c r="K241">
        <f>IF($A241="","",$A241&amp;"|"&amp;COUNTIF($A$2:$A241,$A241))</f>
        <v/>
      </c>
      <c r="L241">
        <f>IF($G241="","",$G241&amp;IF($H241="",""," / "&amp;$H241)&amp;IF($I241="",""," / "&amp;$I241))</f>
        <v/>
      </c>
    </row>
    <row r="242">
      <c r="A242" s="18" t="n"/>
      <c r="B242" s="18" t="n"/>
      <c r="C242" s="18" t="n"/>
      <c r="D242" s="30" t="n"/>
      <c r="E242" s="18" t="n"/>
      <c r="F242" s="5" t="n"/>
      <c r="G242" s="18" t="n"/>
      <c r="H242" s="30" t="n"/>
      <c r="I242" s="18" t="n"/>
      <c r="J242" s="5" t="n"/>
      <c r="K242">
        <f>IF($A242="","",$A242&amp;"|"&amp;COUNTIF($A$2:$A242,$A242))</f>
        <v/>
      </c>
      <c r="L242">
        <f>IF($G242="","",$G242&amp;IF($H242="",""," / "&amp;$H242)&amp;IF($I242="",""," / "&amp;$I242))</f>
        <v/>
      </c>
    </row>
    <row r="243">
      <c r="A243" s="18" t="n"/>
      <c r="B243" s="18" t="n"/>
      <c r="C243" s="18" t="n"/>
      <c r="D243" s="30" t="n"/>
      <c r="E243" s="18" t="n"/>
      <c r="F243" s="5" t="n"/>
      <c r="G243" s="18" t="n"/>
      <c r="H243" s="30" t="n"/>
      <c r="I243" s="18" t="n"/>
      <c r="J243" s="5" t="n"/>
      <c r="K243">
        <f>IF($A243="","",$A243&amp;"|"&amp;COUNTIF($A$2:$A243,$A243))</f>
        <v/>
      </c>
      <c r="L243">
        <f>IF($G243="","",$G243&amp;IF($H243="",""," / "&amp;$H243)&amp;IF($I243="",""," / "&amp;$I243))</f>
        <v/>
      </c>
    </row>
    <row r="244">
      <c r="A244" s="18" t="n"/>
      <c r="B244" s="18" t="n"/>
      <c r="C244" s="18" t="n"/>
      <c r="D244" s="30" t="n"/>
      <c r="E244" s="18" t="n"/>
      <c r="F244" s="5" t="n"/>
      <c r="G244" s="18" t="n"/>
      <c r="H244" s="30" t="n"/>
      <c r="I244" s="18" t="n"/>
      <c r="J244" s="5" t="n"/>
      <c r="K244">
        <f>IF($A244="","",$A244&amp;"|"&amp;COUNTIF($A$2:$A244,$A244))</f>
        <v/>
      </c>
      <c r="L244">
        <f>IF($G244="","",$G244&amp;IF($H244="",""," / "&amp;$H244)&amp;IF($I244="",""," / "&amp;$I244))</f>
        <v/>
      </c>
    </row>
    <row r="245">
      <c r="A245" s="18" t="n"/>
      <c r="B245" s="18" t="n"/>
      <c r="C245" s="18" t="n"/>
      <c r="D245" s="30" t="n"/>
      <c r="E245" s="18" t="n"/>
      <c r="F245" s="5" t="n"/>
      <c r="G245" s="18" t="n"/>
      <c r="H245" s="30" t="n"/>
      <c r="I245" s="18" t="n"/>
      <c r="J245" s="5" t="n"/>
      <c r="K245">
        <f>IF($A245="","",$A245&amp;"|"&amp;COUNTIF($A$2:$A245,$A245))</f>
        <v/>
      </c>
      <c r="L245">
        <f>IF($G245="","",$G245&amp;IF($H245="",""," / "&amp;$H245)&amp;IF($I245="",""," / "&amp;$I245))</f>
        <v/>
      </c>
    </row>
    <row r="246">
      <c r="A246" s="18" t="n"/>
      <c r="B246" s="18" t="n"/>
      <c r="C246" s="18" t="n"/>
      <c r="D246" s="30" t="n"/>
      <c r="E246" s="18" t="n"/>
      <c r="F246" s="5" t="n"/>
      <c r="G246" s="18" t="n"/>
      <c r="H246" s="30" t="n"/>
      <c r="I246" s="18" t="n"/>
      <c r="J246" s="5" t="n"/>
      <c r="K246">
        <f>IF($A246="","",$A246&amp;"|"&amp;COUNTIF($A$2:$A246,$A246))</f>
        <v/>
      </c>
      <c r="L246">
        <f>IF($G246="","",$G246&amp;IF($H246="",""," / "&amp;$H246)&amp;IF($I246="",""," / "&amp;$I246))</f>
        <v/>
      </c>
    </row>
    <row r="247">
      <c r="A247" s="18" t="n"/>
      <c r="B247" s="18" t="n"/>
      <c r="C247" s="18" t="n"/>
      <c r="D247" s="30" t="n"/>
      <c r="E247" s="18" t="n"/>
      <c r="F247" s="5" t="n"/>
      <c r="G247" s="18" t="n"/>
      <c r="H247" s="30" t="n"/>
      <c r="I247" s="18" t="n"/>
      <c r="J247" s="5" t="n"/>
      <c r="K247">
        <f>IF($A247="","",$A247&amp;"|"&amp;COUNTIF($A$2:$A247,$A247))</f>
        <v/>
      </c>
      <c r="L247">
        <f>IF($G247="","",$G247&amp;IF($H247="",""," / "&amp;$H247)&amp;IF($I247="",""," / "&amp;$I247))</f>
        <v/>
      </c>
    </row>
    <row r="248">
      <c r="A248" s="18" t="n"/>
      <c r="B248" s="18" t="n"/>
      <c r="C248" s="18" t="n"/>
      <c r="D248" s="30" t="n"/>
      <c r="E248" s="18" t="n"/>
      <c r="F248" s="5" t="n"/>
      <c r="G248" s="18" t="n"/>
      <c r="H248" s="30" t="n"/>
      <c r="I248" s="18" t="n"/>
      <c r="J248" s="5" t="n"/>
      <c r="K248">
        <f>IF($A248="","",$A248&amp;"|"&amp;COUNTIF($A$2:$A248,$A248))</f>
        <v/>
      </c>
      <c r="L248">
        <f>IF($G248="","",$G248&amp;IF($H248="",""," / "&amp;$H248)&amp;IF($I248="",""," / "&amp;$I248))</f>
        <v/>
      </c>
    </row>
    <row r="249">
      <c r="A249" s="18" t="n"/>
      <c r="B249" s="18" t="n"/>
      <c r="C249" s="18" t="n"/>
      <c r="D249" s="30" t="n"/>
      <c r="E249" s="18" t="n"/>
      <c r="F249" s="5" t="n"/>
      <c r="G249" s="18" t="n"/>
      <c r="H249" s="30" t="n"/>
      <c r="I249" s="18" t="n"/>
      <c r="J249" s="5" t="n"/>
      <c r="K249">
        <f>IF($A249="","",$A249&amp;"|"&amp;COUNTIF($A$2:$A249,$A249))</f>
        <v/>
      </c>
      <c r="L249">
        <f>IF($G249="","",$G249&amp;IF($H249="",""," / "&amp;$H249)&amp;IF($I249="",""," / "&amp;$I249))</f>
        <v/>
      </c>
    </row>
    <row r="250">
      <c r="A250" s="18" t="n"/>
      <c r="B250" s="18" t="n"/>
      <c r="C250" s="18" t="n"/>
      <c r="D250" s="30" t="n"/>
      <c r="E250" s="18" t="n"/>
      <c r="F250" s="5" t="n"/>
      <c r="G250" s="18" t="n"/>
      <c r="H250" s="30" t="n"/>
      <c r="I250" s="18" t="n"/>
      <c r="J250" s="5" t="n"/>
      <c r="K250">
        <f>IF($A250="","",$A250&amp;"|"&amp;COUNTIF($A$2:$A250,$A250))</f>
        <v/>
      </c>
      <c r="L250">
        <f>IF($G250="","",$G250&amp;IF($H250="",""," / "&amp;$H250)&amp;IF($I250="",""," / "&amp;$I250))</f>
        <v/>
      </c>
    </row>
    <row r="251">
      <c r="A251" s="18" t="n"/>
      <c r="B251" s="18" t="n"/>
      <c r="C251" s="18" t="n"/>
      <c r="D251" s="30" t="n"/>
      <c r="E251" s="18" t="n"/>
      <c r="F251" s="5" t="n"/>
      <c r="G251" s="18" t="n"/>
      <c r="H251" s="30" t="n"/>
      <c r="I251" s="18" t="n"/>
      <c r="J251" s="5" t="n"/>
      <c r="K251">
        <f>IF($A251="","",$A251&amp;"|"&amp;COUNTIF($A$2:$A251,$A251))</f>
        <v/>
      </c>
      <c r="L251">
        <f>IF($G251="","",$G251&amp;IF($H251="",""," / "&amp;$H251)&amp;IF($I251="",""," / "&amp;$I251))</f>
        <v/>
      </c>
    </row>
    <row r="252">
      <c r="A252" s="18" t="n"/>
      <c r="B252" s="18" t="n"/>
      <c r="C252" s="18" t="n"/>
      <c r="D252" s="30" t="n"/>
      <c r="E252" s="18" t="n"/>
      <c r="F252" s="5" t="n"/>
      <c r="G252" s="18" t="n"/>
      <c r="H252" s="30" t="n"/>
      <c r="I252" s="18" t="n"/>
      <c r="J252" s="5" t="n"/>
      <c r="K252">
        <f>IF($A252="","",$A252&amp;"|"&amp;COUNTIF($A$2:$A252,$A252))</f>
        <v/>
      </c>
      <c r="L252">
        <f>IF($G252="","",$G252&amp;IF($H252="",""," / "&amp;$H252)&amp;IF($I252="",""," / "&amp;$I252))</f>
        <v/>
      </c>
    </row>
    <row r="253">
      <c r="A253" s="18" t="n"/>
      <c r="B253" s="18" t="n"/>
      <c r="C253" s="18" t="n"/>
      <c r="D253" s="30" t="n"/>
      <c r="E253" s="18" t="n"/>
      <c r="F253" s="5" t="n"/>
      <c r="G253" s="18" t="n"/>
      <c r="H253" s="30" t="n"/>
      <c r="I253" s="18" t="n"/>
      <c r="J253" s="5" t="n"/>
      <c r="K253">
        <f>IF($A253="","",$A253&amp;"|"&amp;COUNTIF($A$2:$A253,$A253))</f>
        <v/>
      </c>
      <c r="L253">
        <f>IF($G253="","",$G253&amp;IF($H253="",""," / "&amp;$H253)&amp;IF($I253="",""," / "&amp;$I253))</f>
        <v/>
      </c>
    </row>
    <row r="254">
      <c r="A254" s="18" t="n"/>
      <c r="B254" s="18" t="n"/>
      <c r="C254" s="18" t="n"/>
      <c r="D254" s="30" t="n"/>
      <c r="E254" s="18" t="n"/>
      <c r="F254" s="5" t="n"/>
      <c r="G254" s="18" t="n"/>
      <c r="H254" s="30" t="n"/>
      <c r="I254" s="18" t="n"/>
      <c r="J254" s="5" t="n"/>
      <c r="K254">
        <f>IF($A254="","",$A254&amp;"|"&amp;COUNTIF($A$2:$A254,$A254))</f>
        <v/>
      </c>
      <c r="L254">
        <f>IF($G254="","",$G254&amp;IF($H254="",""," / "&amp;$H254)&amp;IF($I254="",""," / "&amp;$I254))</f>
        <v/>
      </c>
    </row>
    <row r="255">
      <c r="A255" s="18" t="n"/>
      <c r="B255" s="18" t="n"/>
      <c r="C255" s="18" t="n"/>
      <c r="D255" s="30" t="n"/>
      <c r="E255" s="18" t="n"/>
      <c r="F255" s="5" t="n"/>
      <c r="G255" s="18" t="n"/>
      <c r="H255" s="30" t="n"/>
      <c r="I255" s="18" t="n"/>
      <c r="J255" s="5" t="n"/>
      <c r="K255">
        <f>IF($A255="","",$A255&amp;"|"&amp;COUNTIF($A$2:$A255,$A255))</f>
        <v/>
      </c>
      <c r="L255">
        <f>IF($G255="","",$G255&amp;IF($H255="",""," / "&amp;$H255)&amp;IF($I255="",""," / "&amp;$I255))</f>
        <v/>
      </c>
    </row>
    <row r="256">
      <c r="A256" s="18" t="n"/>
      <c r="B256" s="18" t="n"/>
      <c r="C256" s="18" t="n"/>
      <c r="D256" s="30" t="n"/>
      <c r="E256" s="18" t="n"/>
      <c r="F256" s="5" t="n"/>
      <c r="G256" s="18" t="n"/>
      <c r="H256" s="30" t="n"/>
      <c r="I256" s="18" t="n"/>
      <c r="J256" s="5" t="n"/>
      <c r="K256">
        <f>IF($A256="","",$A256&amp;"|"&amp;COUNTIF($A$2:$A256,$A256))</f>
        <v/>
      </c>
      <c r="L256">
        <f>IF($G256="","",$G256&amp;IF($H256="",""," / "&amp;$H256)&amp;IF($I256="",""," / "&amp;$I256))</f>
        <v/>
      </c>
    </row>
    <row r="257">
      <c r="A257" s="18" t="n"/>
      <c r="B257" s="18" t="n"/>
      <c r="C257" s="18" t="n"/>
      <c r="D257" s="30" t="n"/>
      <c r="E257" s="18" t="n"/>
      <c r="F257" s="5" t="n"/>
      <c r="G257" s="18" t="n"/>
      <c r="H257" s="30" t="n"/>
      <c r="I257" s="18" t="n"/>
      <c r="J257" s="5" t="n"/>
      <c r="K257">
        <f>IF($A257="","",$A257&amp;"|"&amp;COUNTIF($A$2:$A257,$A257))</f>
        <v/>
      </c>
      <c r="L257">
        <f>IF($G257="","",$G257&amp;IF($H257="",""," / "&amp;$H257)&amp;IF($I257="",""," / "&amp;$I257))</f>
        <v/>
      </c>
    </row>
    <row r="258">
      <c r="A258" s="18" t="n"/>
      <c r="B258" s="18" t="n"/>
      <c r="C258" s="18" t="n"/>
      <c r="D258" s="30" t="n"/>
      <c r="E258" s="18" t="n"/>
      <c r="F258" s="5" t="n"/>
      <c r="G258" s="18" t="n"/>
      <c r="H258" s="30" t="n"/>
      <c r="I258" s="18" t="n"/>
      <c r="J258" s="5" t="n"/>
      <c r="K258">
        <f>IF($A258="","",$A258&amp;"|"&amp;COUNTIF($A$2:$A258,$A258))</f>
        <v/>
      </c>
      <c r="L258">
        <f>IF($G258="","",$G258&amp;IF($H258="",""," / "&amp;$H258)&amp;IF($I258="",""," / "&amp;$I258))</f>
        <v/>
      </c>
    </row>
    <row r="259">
      <c r="A259" s="18" t="n"/>
      <c r="B259" s="18" t="n"/>
      <c r="C259" s="18" t="n"/>
      <c r="D259" s="30" t="n"/>
      <c r="E259" s="18" t="n"/>
      <c r="F259" s="5" t="n"/>
      <c r="G259" s="18" t="n"/>
      <c r="H259" s="30" t="n"/>
      <c r="I259" s="18" t="n"/>
      <c r="J259" s="5" t="n"/>
      <c r="K259">
        <f>IF($A259="","",$A259&amp;"|"&amp;COUNTIF($A$2:$A259,$A259))</f>
        <v/>
      </c>
      <c r="L259">
        <f>IF($G259="","",$G259&amp;IF($H259="",""," / "&amp;$H259)&amp;IF($I259="",""," / "&amp;$I259))</f>
        <v/>
      </c>
    </row>
    <row r="260">
      <c r="A260" s="18" t="n"/>
      <c r="B260" s="18" t="n"/>
      <c r="C260" s="18" t="n"/>
      <c r="D260" s="30" t="n"/>
      <c r="E260" s="18" t="n"/>
      <c r="F260" s="5" t="n"/>
      <c r="G260" s="18" t="n"/>
      <c r="H260" s="30" t="n"/>
      <c r="I260" s="18" t="n"/>
      <c r="J260" s="5" t="n"/>
      <c r="K260">
        <f>IF($A260="","",$A260&amp;"|"&amp;COUNTIF($A$2:$A260,$A260))</f>
        <v/>
      </c>
      <c r="L260">
        <f>IF($G260="","",$G260&amp;IF($H260="",""," / "&amp;$H260)&amp;IF($I260="",""," / "&amp;$I260))</f>
        <v/>
      </c>
    </row>
    <row r="261">
      <c r="A261" s="18" t="n"/>
      <c r="B261" s="18" t="n"/>
      <c r="C261" s="18" t="n"/>
      <c r="D261" s="30" t="n"/>
      <c r="E261" s="18" t="n"/>
      <c r="F261" s="5" t="n"/>
      <c r="G261" s="18" t="n"/>
      <c r="H261" s="30" t="n"/>
      <c r="I261" s="18" t="n"/>
      <c r="J261" s="5" t="n"/>
      <c r="K261">
        <f>IF($A261="","",$A261&amp;"|"&amp;COUNTIF($A$2:$A261,$A261))</f>
        <v/>
      </c>
      <c r="L261">
        <f>IF($G261="","",$G261&amp;IF($H261="",""," / "&amp;$H261)&amp;IF($I261="",""," / "&amp;$I261))</f>
        <v/>
      </c>
    </row>
    <row r="262">
      <c r="A262" s="18" t="n"/>
      <c r="B262" s="18" t="n"/>
      <c r="C262" s="18" t="n"/>
      <c r="D262" s="30" t="n"/>
      <c r="E262" s="18" t="n"/>
      <c r="F262" s="5" t="n"/>
      <c r="G262" s="18" t="n"/>
      <c r="H262" s="30" t="n"/>
      <c r="I262" s="18" t="n"/>
      <c r="J262" s="5" t="n"/>
      <c r="K262">
        <f>IF($A262="","",$A262&amp;"|"&amp;COUNTIF($A$2:$A262,$A262))</f>
        <v/>
      </c>
      <c r="L262">
        <f>IF($G262="","",$G262&amp;IF($H262="",""," / "&amp;$H262)&amp;IF($I262="",""," / "&amp;$I262))</f>
        <v/>
      </c>
    </row>
    <row r="263">
      <c r="A263" s="18" t="n"/>
      <c r="B263" s="18" t="n"/>
      <c r="C263" s="18" t="n"/>
      <c r="D263" s="30" t="n"/>
      <c r="E263" s="18" t="n"/>
      <c r="F263" s="5" t="n"/>
      <c r="G263" s="18" t="n"/>
      <c r="H263" s="30" t="n"/>
      <c r="I263" s="18" t="n"/>
      <c r="J263" s="5" t="n"/>
      <c r="K263">
        <f>IF($A263="","",$A263&amp;"|"&amp;COUNTIF($A$2:$A263,$A263))</f>
        <v/>
      </c>
      <c r="L263">
        <f>IF($G263="","",$G263&amp;IF($H263="",""," / "&amp;$H263)&amp;IF($I263="",""," / "&amp;$I263))</f>
        <v/>
      </c>
    </row>
    <row r="264">
      <c r="A264" s="18" t="n"/>
      <c r="B264" s="18" t="n"/>
      <c r="C264" s="18" t="n"/>
      <c r="D264" s="30" t="n"/>
      <c r="E264" s="18" t="n"/>
      <c r="F264" s="5" t="n"/>
      <c r="G264" s="18" t="n"/>
      <c r="H264" s="30" t="n"/>
      <c r="I264" s="18" t="n"/>
      <c r="J264" s="5" t="n"/>
      <c r="K264">
        <f>IF($A264="","",$A264&amp;"|"&amp;COUNTIF($A$2:$A264,$A264))</f>
        <v/>
      </c>
      <c r="L264">
        <f>IF($G264="","",$G264&amp;IF($H264="",""," / "&amp;$H264)&amp;IF($I264="",""," / "&amp;$I264))</f>
        <v/>
      </c>
    </row>
    <row r="265">
      <c r="A265" s="18" t="n"/>
      <c r="B265" s="18" t="n"/>
      <c r="C265" s="18" t="n"/>
      <c r="D265" s="30" t="n"/>
      <c r="E265" s="18" t="n"/>
      <c r="F265" s="5" t="n"/>
      <c r="G265" s="18" t="n"/>
      <c r="H265" s="30" t="n"/>
      <c r="I265" s="18" t="n"/>
      <c r="J265" s="5" t="n"/>
      <c r="K265">
        <f>IF($A265="","",$A265&amp;"|"&amp;COUNTIF($A$2:$A265,$A265))</f>
        <v/>
      </c>
      <c r="L265">
        <f>IF($G265="","",$G265&amp;IF($H265="",""," / "&amp;$H265)&amp;IF($I265="",""," / "&amp;$I265))</f>
        <v/>
      </c>
    </row>
    <row r="266">
      <c r="A266" s="18" t="n"/>
      <c r="B266" s="18" t="n"/>
      <c r="C266" s="18" t="n"/>
      <c r="D266" s="30" t="n"/>
      <c r="E266" s="18" t="n"/>
      <c r="F266" s="5" t="n"/>
      <c r="G266" s="18" t="n"/>
      <c r="H266" s="30" t="n"/>
      <c r="I266" s="18" t="n"/>
      <c r="J266" s="5" t="n"/>
      <c r="K266">
        <f>IF($A266="","",$A266&amp;"|"&amp;COUNTIF($A$2:$A266,$A266))</f>
        <v/>
      </c>
      <c r="L266">
        <f>IF($G266="","",$G266&amp;IF($H266="",""," / "&amp;$H266)&amp;IF($I266="",""," / "&amp;$I266))</f>
        <v/>
      </c>
    </row>
    <row r="267">
      <c r="A267" s="18" t="n"/>
      <c r="B267" s="18" t="n"/>
      <c r="C267" s="18" t="n"/>
      <c r="D267" s="30" t="n"/>
      <c r="E267" s="18" t="n"/>
      <c r="F267" s="5" t="n"/>
      <c r="G267" s="18" t="n"/>
      <c r="H267" s="30" t="n"/>
      <c r="I267" s="18" t="n"/>
      <c r="J267" s="5" t="n"/>
      <c r="K267">
        <f>IF($A267="","",$A267&amp;"|"&amp;COUNTIF($A$2:$A267,$A267))</f>
        <v/>
      </c>
      <c r="L267">
        <f>IF($G267="","",$G267&amp;IF($H267="",""," / "&amp;$H267)&amp;IF($I267="",""," / "&amp;$I267))</f>
        <v/>
      </c>
    </row>
    <row r="268">
      <c r="A268" s="18" t="n"/>
      <c r="B268" s="18" t="n"/>
      <c r="C268" s="18" t="n"/>
      <c r="D268" s="30" t="n"/>
      <c r="E268" s="18" t="n"/>
      <c r="F268" s="5" t="n"/>
      <c r="G268" s="18" t="n"/>
      <c r="H268" s="30" t="n"/>
      <c r="I268" s="18" t="n"/>
      <c r="J268" s="5" t="n"/>
      <c r="K268">
        <f>IF($A268="","",$A268&amp;"|"&amp;COUNTIF($A$2:$A268,$A268))</f>
        <v/>
      </c>
      <c r="L268">
        <f>IF($G268="","",$G268&amp;IF($H268="",""," / "&amp;$H268)&amp;IF($I268="",""," / "&amp;$I268))</f>
        <v/>
      </c>
    </row>
    <row r="269">
      <c r="A269" s="18" t="n"/>
      <c r="B269" s="18" t="n"/>
      <c r="C269" s="18" t="n"/>
      <c r="D269" s="30" t="n"/>
      <c r="E269" s="18" t="n"/>
      <c r="F269" s="5" t="n"/>
      <c r="G269" s="18" t="n"/>
      <c r="H269" s="30" t="n"/>
      <c r="I269" s="18" t="n"/>
      <c r="J269" s="5" t="n"/>
      <c r="K269">
        <f>IF($A269="","",$A269&amp;"|"&amp;COUNTIF($A$2:$A269,$A269))</f>
        <v/>
      </c>
      <c r="L269">
        <f>IF($G269="","",$G269&amp;IF($H269="",""," / "&amp;$H269)&amp;IF($I269="",""," / "&amp;$I269))</f>
        <v/>
      </c>
    </row>
    <row r="270">
      <c r="A270" s="18" t="n"/>
      <c r="B270" s="18" t="n"/>
      <c r="C270" s="18" t="n"/>
      <c r="D270" s="30" t="n"/>
      <c r="E270" s="18" t="n"/>
      <c r="F270" s="5" t="n"/>
      <c r="G270" s="18" t="n"/>
      <c r="H270" s="30" t="n"/>
      <c r="I270" s="18" t="n"/>
      <c r="J270" s="5" t="n"/>
      <c r="K270">
        <f>IF($A270="","",$A270&amp;"|"&amp;COUNTIF($A$2:$A270,$A270))</f>
        <v/>
      </c>
      <c r="L270">
        <f>IF($G270="","",$G270&amp;IF($H270="",""," / "&amp;$H270)&amp;IF($I270="",""," / "&amp;$I270))</f>
        <v/>
      </c>
    </row>
    <row r="271">
      <c r="A271" s="18" t="n"/>
      <c r="B271" s="18" t="n"/>
      <c r="C271" s="18" t="n"/>
      <c r="D271" s="30" t="n"/>
      <c r="E271" s="18" t="n"/>
      <c r="F271" s="5" t="n"/>
      <c r="G271" s="18" t="n"/>
      <c r="H271" s="30" t="n"/>
      <c r="I271" s="18" t="n"/>
      <c r="J271" s="5" t="n"/>
      <c r="K271">
        <f>IF($A271="","",$A271&amp;"|"&amp;COUNTIF($A$2:$A271,$A271))</f>
        <v/>
      </c>
      <c r="L271">
        <f>IF($G271="","",$G271&amp;IF($H271="",""," / "&amp;$H271)&amp;IF($I271="",""," / "&amp;$I271))</f>
        <v/>
      </c>
    </row>
    <row r="272">
      <c r="A272" s="18" t="n"/>
      <c r="B272" s="18" t="n"/>
      <c r="C272" s="18" t="n"/>
      <c r="D272" s="30" t="n"/>
      <c r="E272" s="18" t="n"/>
      <c r="F272" s="5" t="n"/>
      <c r="G272" s="18" t="n"/>
      <c r="H272" s="30" t="n"/>
      <c r="I272" s="18" t="n"/>
      <c r="J272" s="5" t="n"/>
      <c r="K272">
        <f>IF($A272="","",$A272&amp;"|"&amp;COUNTIF($A$2:$A272,$A272))</f>
        <v/>
      </c>
      <c r="L272">
        <f>IF($G272="","",$G272&amp;IF($H272="",""," / "&amp;$H272)&amp;IF($I272="",""," / "&amp;$I272))</f>
        <v/>
      </c>
    </row>
    <row r="273">
      <c r="A273" s="18" t="n"/>
      <c r="B273" s="18" t="n"/>
      <c r="C273" s="18" t="n"/>
      <c r="D273" s="30" t="n"/>
      <c r="E273" s="18" t="n"/>
      <c r="F273" s="5" t="n"/>
      <c r="G273" s="18" t="n"/>
      <c r="H273" s="30" t="n"/>
      <c r="I273" s="18" t="n"/>
      <c r="J273" s="5" t="n"/>
      <c r="K273">
        <f>IF($A273="","",$A273&amp;"|"&amp;COUNTIF($A$2:$A273,$A273))</f>
        <v/>
      </c>
      <c r="L273">
        <f>IF($G273="","",$G273&amp;IF($H273="",""," / "&amp;$H273)&amp;IF($I273="",""," / "&amp;$I273))</f>
        <v/>
      </c>
    </row>
    <row r="274">
      <c r="A274" s="18" t="n"/>
      <c r="B274" s="18" t="n"/>
      <c r="C274" s="18" t="n"/>
      <c r="D274" s="30" t="n"/>
      <c r="E274" s="18" t="n"/>
      <c r="F274" s="5" t="n"/>
      <c r="G274" s="18" t="n"/>
      <c r="H274" s="30" t="n"/>
      <c r="I274" s="18" t="n"/>
      <c r="J274" s="5" t="n"/>
      <c r="K274">
        <f>IF($A274="","",$A274&amp;"|"&amp;COUNTIF($A$2:$A274,$A274))</f>
        <v/>
      </c>
      <c r="L274">
        <f>IF($G274="","",$G274&amp;IF($H274="",""," / "&amp;$H274)&amp;IF($I274="",""," / "&amp;$I274))</f>
        <v/>
      </c>
    </row>
    <row r="275">
      <c r="A275" s="18" t="n"/>
      <c r="B275" s="18" t="n"/>
      <c r="C275" s="18" t="n"/>
      <c r="D275" s="30" t="n"/>
      <c r="E275" s="18" t="n"/>
      <c r="F275" s="5" t="n"/>
      <c r="G275" s="18" t="n"/>
      <c r="H275" s="30" t="n"/>
      <c r="I275" s="18" t="n"/>
      <c r="J275" s="5" t="n"/>
      <c r="K275">
        <f>IF($A275="","",$A275&amp;"|"&amp;COUNTIF($A$2:$A275,$A275))</f>
        <v/>
      </c>
      <c r="L275">
        <f>IF($G275="","",$G275&amp;IF($H275="",""," / "&amp;$H275)&amp;IF($I275="",""," / "&amp;$I275))</f>
        <v/>
      </c>
    </row>
    <row r="276">
      <c r="A276" s="18" t="n"/>
      <c r="B276" s="18" t="n"/>
      <c r="C276" s="18" t="n"/>
      <c r="D276" s="30" t="n"/>
      <c r="E276" s="18" t="n"/>
      <c r="F276" s="5" t="n"/>
      <c r="G276" s="18" t="n"/>
      <c r="H276" s="30" t="n"/>
      <c r="I276" s="18" t="n"/>
      <c r="J276" s="5" t="n"/>
      <c r="K276">
        <f>IF($A276="","",$A276&amp;"|"&amp;COUNTIF($A$2:$A276,$A276))</f>
        <v/>
      </c>
      <c r="L276">
        <f>IF($G276="","",$G276&amp;IF($H276="",""," / "&amp;$H276)&amp;IF($I276="",""," / "&amp;$I276))</f>
        <v/>
      </c>
    </row>
    <row r="277">
      <c r="A277" s="18" t="n"/>
      <c r="B277" s="18" t="n"/>
      <c r="C277" s="18" t="n"/>
      <c r="D277" s="30" t="n"/>
      <c r="E277" s="18" t="n"/>
      <c r="F277" s="5" t="n"/>
      <c r="G277" s="18" t="n"/>
      <c r="H277" s="30" t="n"/>
      <c r="I277" s="18" t="n"/>
      <c r="J277" s="5" t="n"/>
      <c r="K277">
        <f>IF($A277="","",$A277&amp;"|"&amp;COUNTIF($A$2:$A277,$A277))</f>
        <v/>
      </c>
      <c r="L277">
        <f>IF($G277="","",$G277&amp;IF($H277="",""," / "&amp;$H277)&amp;IF($I277="",""," / "&amp;$I277))</f>
        <v/>
      </c>
    </row>
    <row r="278">
      <c r="A278" s="18" t="n"/>
      <c r="B278" s="18" t="n"/>
      <c r="C278" s="18" t="n"/>
      <c r="D278" s="30" t="n"/>
      <c r="E278" s="18" t="n"/>
      <c r="F278" s="5" t="n"/>
      <c r="G278" s="18" t="n"/>
      <c r="H278" s="30" t="n"/>
      <c r="I278" s="18" t="n"/>
      <c r="J278" s="5" t="n"/>
      <c r="K278">
        <f>IF($A278="","",$A278&amp;"|"&amp;COUNTIF($A$2:$A278,$A278))</f>
        <v/>
      </c>
      <c r="L278">
        <f>IF($G278="","",$G278&amp;IF($H278="",""," / "&amp;$H278)&amp;IF($I278="",""," / "&amp;$I278))</f>
        <v/>
      </c>
    </row>
    <row r="279">
      <c r="A279" s="18" t="n"/>
      <c r="B279" s="18" t="n"/>
      <c r="C279" s="18" t="n"/>
      <c r="D279" s="30" t="n"/>
      <c r="E279" s="18" t="n"/>
      <c r="F279" s="5" t="n"/>
      <c r="G279" s="18" t="n"/>
      <c r="H279" s="30" t="n"/>
      <c r="I279" s="18" t="n"/>
      <c r="J279" s="5" t="n"/>
      <c r="K279">
        <f>IF($A279="","",$A279&amp;"|"&amp;COUNTIF($A$2:$A279,$A279))</f>
        <v/>
      </c>
      <c r="L279">
        <f>IF($G279="","",$G279&amp;IF($H279="",""," / "&amp;$H279)&amp;IF($I279="",""," / "&amp;$I279))</f>
        <v/>
      </c>
    </row>
    <row r="280">
      <c r="A280" s="18" t="n"/>
      <c r="B280" s="18" t="n"/>
      <c r="C280" s="18" t="n"/>
      <c r="D280" s="30" t="n"/>
      <c r="E280" s="18" t="n"/>
      <c r="F280" s="5" t="n"/>
      <c r="G280" s="18" t="n"/>
      <c r="H280" s="30" t="n"/>
      <c r="I280" s="18" t="n"/>
      <c r="J280" s="5" t="n"/>
      <c r="K280">
        <f>IF($A280="","",$A280&amp;"|"&amp;COUNTIF($A$2:$A280,$A280))</f>
        <v/>
      </c>
      <c r="L280">
        <f>IF($G280="","",$G280&amp;IF($H280="",""," / "&amp;$H280)&amp;IF($I280="",""," / "&amp;$I280))</f>
        <v/>
      </c>
    </row>
    <row r="281">
      <c r="A281" s="18" t="n"/>
      <c r="B281" s="18" t="n"/>
      <c r="C281" s="18" t="n"/>
      <c r="D281" s="30" t="n"/>
      <c r="E281" s="18" t="n"/>
      <c r="F281" s="5" t="n"/>
      <c r="G281" s="18" t="n"/>
      <c r="H281" s="30" t="n"/>
      <c r="I281" s="18" t="n"/>
      <c r="J281" s="5" t="n"/>
      <c r="K281">
        <f>IF($A281="","",$A281&amp;"|"&amp;COUNTIF($A$2:$A281,$A281))</f>
        <v/>
      </c>
      <c r="L281">
        <f>IF($G281="","",$G281&amp;IF($H281="",""," / "&amp;$H281)&amp;IF($I281="",""," / "&amp;$I281))</f>
        <v/>
      </c>
    </row>
    <row r="282">
      <c r="A282" s="18" t="n"/>
      <c r="B282" s="18" t="n"/>
      <c r="C282" s="18" t="n"/>
      <c r="D282" s="30" t="n"/>
      <c r="E282" s="18" t="n"/>
      <c r="F282" s="5" t="n"/>
      <c r="G282" s="18" t="n"/>
      <c r="H282" s="30" t="n"/>
      <c r="I282" s="18" t="n"/>
      <c r="J282" s="5" t="n"/>
      <c r="K282">
        <f>IF($A282="","",$A282&amp;"|"&amp;COUNTIF($A$2:$A282,$A282))</f>
        <v/>
      </c>
      <c r="L282">
        <f>IF($G282="","",$G282&amp;IF($H282="",""," / "&amp;$H282)&amp;IF($I282="",""," / "&amp;$I282))</f>
        <v/>
      </c>
    </row>
    <row r="283">
      <c r="A283" s="18" t="n"/>
      <c r="B283" s="18" t="n"/>
      <c r="C283" s="18" t="n"/>
      <c r="D283" s="30" t="n"/>
      <c r="E283" s="18" t="n"/>
      <c r="F283" s="5" t="n"/>
      <c r="G283" s="18" t="n"/>
      <c r="H283" s="30" t="n"/>
      <c r="I283" s="18" t="n"/>
      <c r="J283" s="5" t="n"/>
      <c r="K283">
        <f>IF($A283="","",$A283&amp;"|"&amp;COUNTIF($A$2:$A283,$A283))</f>
        <v/>
      </c>
      <c r="L283">
        <f>IF($G283="","",$G283&amp;IF($H283="",""," / "&amp;$H283)&amp;IF($I283="",""," / "&amp;$I283))</f>
        <v/>
      </c>
    </row>
    <row r="284">
      <c r="A284" s="18" t="n"/>
      <c r="B284" s="18" t="n"/>
      <c r="C284" s="18" t="n"/>
      <c r="D284" s="30" t="n"/>
      <c r="E284" s="18" t="n"/>
      <c r="F284" s="5" t="n"/>
      <c r="G284" s="18" t="n"/>
      <c r="H284" s="30" t="n"/>
      <c r="I284" s="18" t="n"/>
      <c r="J284" s="5" t="n"/>
      <c r="K284">
        <f>IF($A284="","",$A284&amp;"|"&amp;COUNTIF($A$2:$A284,$A284))</f>
        <v/>
      </c>
      <c r="L284">
        <f>IF($G284="","",$G284&amp;IF($H284="",""," / "&amp;$H284)&amp;IF($I284="",""," / "&amp;$I284))</f>
        <v/>
      </c>
    </row>
    <row r="285">
      <c r="A285" s="18" t="n"/>
      <c r="B285" s="18" t="n"/>
      <c r="C285" s="18" t="n"/>
      <c r="D285" s="30" t="n"/>
      <c r="E285" s="18" t="n"/>
      <c r="F285" s="5" t="n"/>
      <c r="G285" s="18" t="n"/>
      <c r="H285" s="30" t="n"/>
      <c r="I285" s="18" t="n"/>
      <c r="J285" s="5" t="n"/>
      <c r="K285">
        <f>IF($A285="","",$A285&amp;"|"&amp;COUNTIF($A$2:$A285,$A285))</f>
        <v/>
      </c>
      <c r="L285">
        <f>IF($G285="","",$G285&amp;IF($H285="",""," / "&amp;$H285)&amp;IF($I285="",""," / "&amp;$I285))</f>
        <v/>
      </c>
    </row>
    <row r="286">
      <c r="A286" s="18" t="n"/>
      <c r="B286" s="18" t="n"/>
      <c r="C286" s="18" t="n"/>
      <c r="D286" s="30" t="n"/>
      <c r="E286" s="18" t="n"/>
      <c r="F286" s="5" t="n"/>
      <c r="G286" s="18" t="n"/>
      <c r="H286" s="30" t="n"/>
      <c r="I286" s="18" t="n"/>
      <c r="J286" s="5" t="n"/>
      <c r="K286">
        <f>IF($A286="","",$A286&amp;"|"&amp;COUNTIF($A$2:$A286,$A286))</f>
        <v/>
      </c>
      <c r="L286">
        <f>IF($G286="","",$G286&amp;IF($H286="",""," / "&amp;$H286)&amp;IF($I286="",""," / "&amp;$I286))</f>
        <v/>
      </c>
    </row>
    <row r="287">
      <c r="A287" s="18" t="n"/>
      <c r="B287" s="18" t="n"/>
      <c r="C287" s="18" t="n"/>
      <c r="D287" s="30" t="n"/>
      <c r="E287" s="18" t="n"/>
      <c r="F287" s="5" t="n"/>
      <c r="G287" s="18" t="n"/>
      <c r="H287" s="30" t="n"/>
      <c r="I287" s="18" t="n"/>
      <c r="J287" s="5" t="n"/>
      <c r="K287">
        <f>IF($A287="","",$A287&amp;"|"&amp;COUNTIF($A$2:$A287,$A287))</f>
        <v/>
      </c>
      <c r="L287">
        <f>IF($G287="","",$G287&amp;IF($H287="",""," / "&amp;$H287)&amp;IF($I287="",""," / "&amp;$I287))</f>
        <v/>
      </c>
    </row>
    <row r="288">
      <c r="A288" s="18" t="n"/>
      <c r="B288" s="18" t="n"/>
      <c r="C288" s="18" t="n"/>
      <c r="D288" s="30" t="n"/>
      <c r="E288" s="18" t="n"/>
      <c r="F288" s="5" t="n"/>
      <c r="G288" s="18" t="n"/>
      <c r="H288" s="30" t="n"/>
      <c r="I288" s="18" t="n"/>
      <c r="J288" s="5" t="n"/>
      <c r="K288">
        <f>IF($A288="","",$A288&amp;"|"&amp;COUNTIF($A$2:$A288,$A288))</f>
        <v/>
      </c>
      <c r="L288">
        <f>IF($G288="","",$G288&amp;IF($H288="",""," / "&amp;$H288)&amp;IF($I288="",""," / "&amp;$I288))</f>
        <v/>
      </c>
    </row>
    <row r="289">
      <c r="A289" s="18" t="n"/>
      <c r="B289" s="18" t="n"/>
      <c r="C289" s="18" t="n"/>
      <c r="D289" s="30" t="n"/>
      <c r="E289" s="18" t="n"/>
      <c r="F289" s="5" t="n"/>
      <c r="G289" s="18" t="n"/>
      <c r="H289" s="30" t="n"/>
      <c r="I289" s="18" t="n"/>
      <c r="J289" s="5" t="n"/>
      <c r="K289">
        <f>IF($A289="","",$A289&amp;"|"&amp;COUNTIF($A$2:$A289,$A289))</f>
        <v/>
      </c>
      <c r="L289">
        <f>IF($G289="","",$G289&amp;IF($H289="",""," / "&amp;$H289)&amp;IF($I289="",""," / "&amp;$I289))</f>
        <v/>
      </c>
    </row>
    <row r="290">
      <c r="A290" s="18" t="n"/>
      <c r="B290" s="18" t="n"/>
      <c r="C290" s="18" t="n"/>
      <c r="D290" s="30" t="n"/>
      <c r="E290" s="18" t="n"/>
      <c r="F290" s="5" t="n"/>
      <c r="G290" s="18" t="n"/>
      <c r="H290" s="30" t="n"/>
      <c r="I290" s="18" t="n"/>
      <c r="J290" s="5" t="n"/>
      <c r="K290">
        <f>IF($A290="","",$A290&amp;"|"&amp;COUNTIF($A$2:$A290,$A290))</f>
        <v/>
      </c>
      <c r="L290">
        <f>IF($G290="","",$G290&amp;IF($H290="",""," / "&amp;$H290)&amp;IF($I290="",""," / "&amp;$I290))</f>
        <v/>
      </c>
    </row>
    <row r="291">
      <c r="A291" s="18" t="n"/>
      <c r="B291" s="18" t="n"/>
      <c r="C291" s="18" t="n"/>
      <c r="D291" s="30" t="n"/>
      <c r="E291" s="18" t="n"/>
      <c r="F291" s="5" t="n"/>
      <c r="G291" s="18" t="n"/>
      <c r="H291" s="30" t="n"/>
      <c r="I291" s="18" t="n"/>
      <c r="J291" s="5" t="n"/>
      <c r="K291">
        <f>IF($A291="","",$A291&amp;"|"&amp;COUNTIF($A$2:$A291,$A291))</f>
        <v/>
      </c>
      <c r="L291">
        <f>IF($G291="","",$G291&amp;IF($H291="",""," / "&amp;$H291)&amp;IF($I291="",""," / "&amp;$I291))</f>
        <v/>
      </c>
    </row>
    <row r="292">
      <c r="A292" s="18" t="n"/>
      <c r="B292" s="18" t="n"/>
      <c r="C292" s="18" t="n"/>
      <c r="D292" s="30" t="n"/>
      <c r="E292" s="18" t="n"/>
      <c r="F292" s="5" t="n"/>
      <c r="G292" s="18" t="n"/>
      <c r="H292" s="30" t="n"/>
      <c r="I292" s="18" t="n"/>
      <c r="J292" s="5" t="n"/>
      <c r="K292">
        <f>IF($A292="","",$A292&amp;"|"&amp;COUNTIF($A$2:$A292,$A292))</f>
        <v/>
      </c>
      <c r="L292">
        <f>IF($G292="","",$G292&amp;IF($H292="",""," / "&amp;$H292)&amp;IF($I292="",""," / "&amp;$I292))</f>
        <v/>
      </c>
    </row>
    <row r="293">
      <c r="A293" s="18" t="n"/>
      <c r="B293" s="18" t="n"/>
      <c r="C293" s="18" t="n"/>
      <c r="D293" s="30" t="n"/>
      <c r="E293" s="18" t="n"/>
      <c r="F293" s="5" t="n"/>
      <c r="G293" s="18" t="n"/>
      <c r="H293" s="30" t="n"/>
      <c r="I293" s="18" t="n"/>
      <c r="J293" s="5" t="n"/>
      <c r="K293">
        <f>IF($A293="","",$A293&amp;"|"&amp;COUNTIF($A$2:$A293,$A293))</f>
        <v/>
      </c>
      <c r="L293">
        <f>IF($G293="","",$G293&amp;IF($H293="",""," / "&amp;$H293)&amp;IF($I293="",""," / "&amp;$I293))</f>
        <v/>
      </c>
    </row>
    <row r="294">
      <c r="A294" s="18" t="n"/>
      <c r="B294" s="18" t="n"/>
      <c r="C294" s="18" t="n"/>
      <c r="D294" s="30" t="n"/>
      <c r="E294" s="18" t="n"/>
      <c r="F294" s="5" t="n"/>
      <c r="G294" s="18" t="n"/>
      <c r="H294" s="30" t="n"/>
      <c r="I294" s="18" t="n"/>
      <c r="J294" s="5" t="n"/>
      <c r="K294">
        <f>IF($A294="","",$A294&amp;"|"&amp;COUNTIF($A$2:$A294,$A294))</f>
        <v/>
      </c>
      <c r="L294">
        <f>IF($G294="","",$G294&amp;IF($H294="",""," / "&amp;$H294)&amp;IF($I294="",""," / "&amp;$I294))</f>
        <v/>
      </c>
    </row>
    <row r="295">
      <c r="A295" s="18" t="n"/>
      <c r="B295" s="18" t="n"/>
      <c r="C295" s="18" t="n"/>
      <c r="D295" s="30" t="n"/>
      <c r="E295" s="18" t="n"/>
      <c r="F295" s="5" t="n"/>
      <c r="G295" s="18" t="n"/>
      <c r="H295" s="30" t="n"/>
      <c r="I295" s="18" t="n"/>
      <c r="J295" s="5" t="n"/>
      <c r="K295">
        <f>IF($A295="","",$A295&amp;"|"&amp;COUNTIF($A$2:$A295,$A295))</f>
        <v/>
      </c>
      <c r="L295">
        <f>IF($G295="","",$G295&amp;IF($H295="",""," / "&amp;$H295)&amp;IF($I295="",""," / "&amp;$I295))</f>
        <v/>
      </c>
    </row>
    <row r="296">
      <c r="A296" s="18" t="n"/>
      <c r="B296" s="18" t="n"/>
      <c r="C296" s="18" t="n"/>
      <c r="D296" s="30" t="n"/>
      <c r="E296" s="18" t="n"/>
      <c r="F296" s="5" t="n"/>
      <c r="G296" s="18" t="n"/>
      <c r="H296" s="30" t="n"/>
      <c r="I296" s="18" t="n"/>
      <c r="J296" s="5" t="n"/>
      <c r="K296">
        <f>IF($A296="","",$A296&amp;"|"&amp;COUNTIF($A$2:$A296,$A296))</f>
        <v/>
      </c>
      <c r="L296">
        <f>IF($G296="","",$G296&amp;IF($H296="",""," / "&amp;$H296)&amp;IF($I296="",""," / "&amp;$I296))</f>
        <v/>
      </c>
    </row>
    <row r="297">
      <c r="A297" s="18" t="n"/>
      <c r="B297" s="18" t="n"/>
      <c r="C297" s="18" t="n"/>
      <c r="D297" s="30" t="n"/>
      <c r="E297" s="18" t="n"/>
      <c r="F297" s="5" t="n"/>
      <c r="G297" s="18" t="n"/>
      <c r="H297" s="30" t="n"/>
      <c r="I297" s="18" t="n"/>
      <c r="J297" s="5" t="n"/>
      <c r="K297">
        <f>IF($A297="","",$A297&amp;"|"&amp;COUNTIF($A$2:$A297,$A297))</f>
        <v/>
      </c>
      <c r="L297">
        <f>IF($G297="","",$G297&amp;IF($H297="",""," / "&amp;$H297)&amp;IF($I297="",""," / "&amp;$I297))</f>
        <v/>
      </c>
    </row>
    <row r="298">
      <c r="A298" s="18" t="n"/>
      <c r="B298" s="18" t="n"/>
      <c r="C298" s="18" t="n"/>
      <c r="D298" s="30" t="n"/>
      <c r="E298" s="18" t="n"/>
      <c r="F298" s="5" t="n"/>
      <c r="G298" s="18" t="n"/>
      <c r="H298" s="30" t="n"/>
      <c r="I298" s="18" t="n"/>
      <c r="J298" s="5" t="n"/>
      <c r="K298">
        <f>IF($A298="","",$A298&amp;"|"&amp;COUNTIF($A$2:$A298,$A298))</f>
        <v/>
      </c>
      <c r="L298">
        <f>IF($G298="","",$G298&amp;IF($H298="",""," / "&amp;$H298)&amp;IF($I298="",""," / "&amp;$I298))</f>
        <v/>
      </c>
    </row>
    <row r="299">
      <c r="A299" s="18" t="n"/>
      <c r="B299" s="18" t="n"/>
      <c r="C299" s="18" t="n"/>
      <c r="D299" s="30" t="n"/>
      <c r="E299" s="18" t="n"/>
      <c r="F299" s="5" t="n"/>
      <c r="G299" s="18" t="n"/>
      <c r="H299" s="30" t="n"/>
      <c r="I299" s="18" t="n"/>
      <c r="J299" s="5" t="n"/>
      <c r="K299">
        <f>IF($A299="","",$A299&amp;"|"&amp;COUNTIF($A$2:$A299,$A299))</f>
        <v/>
      </c>
      <c r="L299">
        <f>IF($G299="","",$G299&amp;IF($H299="",""," / "&amp;$H299)&amp;IF($I299="",""," / "&amp;$I299))</f>
        <v/>
      </c>
    </row>
    <row r="300">
      <c r="A300" s="18" t="n"/>
      <c r="B300" s="18" t="n"/>
      <c r="C300" s="18" t="n"/>
      <c r="D300" s="30" t="n"/>
      <c r="E300" s="18" t="n"/>
      <c r="F300" s="5" t="n"/>
      <c r="G300" s="18" t="n"/>
      <c r="H300" s="30" t="n"/>
      <c r="I300" s="18" t="n"/>
      <c r="J300" s="5" t="n"/>
      <c r="K300">
        <f>IF($A300="","",$A300&amp;"|"&amp;COUNTIF($A$2:$A300,$A300))</f>
        <v/>
      </c>
      <c r="L300">
        <f>IF($G300="","",$G300&amp;IF($H300="",""," / "&amp;$H300)&amp;IF($I300="",""," / "&amp;$I300))</f>
        <v/>
      </c>
    </row>
    <row r="301">
      <c r="A301" s="18" t="n"/>
      <c r="B301" s="18" t="n"/>
      <c r="C301" s="18" t="n"/>
      <c r="D301" s="30" t="n"/>
      <c r="E301" s="18" t="n"/>
      <c r="F301" s="5" t="n"/>
      <c r="G301" s="18" t="n"/>
      <c r="H301" s="30" t="n"/>
      <c r="I301" s="18" t="n"/>
      <c r="J301" s="5" t="n"/>
      <c r="K301">
        <f>IF($A301="","",$A301&amp;"|"&amp;COUNTIF($A$2:$A301,$A301))</f>
        <v/>
      </c>
      <c r="L301">
        <f>IF($G301="","",$G301&amp;IF($H301="",""," / "&amp;$H301)&amp;IF($I301="",""," / "&amp;$I301))</f>
        <v/>
      </c>
    </row>
    <row r="302">
      <c r="A302" s="18" t="n"/>
      <c r="B302" s="18" t="n"/>
      <c r="C302" s="18" t="n"/>
      <c r="D302" s="30" t="n"/>
      <c r="E302" s="18" t="n"/>
      <c r="F302" s="5" t="n"/>
      <c r="G302" s="18" t="n"/>
      <c r="H302" s="30" t="n"/>
      <c r="I302" s="18" t="n"/>
      <c r="J302" s="5" t="n"/>
      <c r="K302">
        <f>IF($A302="","",$A302&amp;"|"&amp;COUNTIF($A$2:$A302,$A302))</f>
        <v/>
      </c>
      <c r="L302">
        <f>IF($G302="","",$G302&amp;IF($H302="",""," / "&amp;$H302)&amp;IF($I302="",""," / "&amp;$I302))</f>
        <v/>
      </c>
    </row>
    <row r="303">
      <c r="A303" s="18" t="n"/>
      <c r="B303" s="18" t="n"/>
      <c r="C303" s="18" t="n"/>
      <c r="D303" s="30" t="n"/>
      <c r="E303" s="18" t="n"/>
      <c r="F303" s="5" t="n"/>
      <c r="G303" s="18" t="n"/>
      <c r="H303" s="30" t="n"/>
      <c r="I303" s="18" t="n"/>
      <c r="J303" s="5" t="n"/>
      <c r="K303">
        <f>IF($A303="","",$A303&amp;"|"&amp;COUNTIF($A$2:$A303,$A303))</f>
        <v/>
      </c>
      <c r="L303">
        <f>IF($G303="","",$G303&amp;IF($H303="",""," / "&amp;$H303)&amp;IF($I303="",""," / "&amp;$I303))</f>
        <v/>
      </c>
    </row>
    <row r="304">
      <c r="A304" s="18" t="n"/>
      <c r="B304" s="18" t="n"/>
      <c r="C304" s="18" t="n"/>
      <c r="D304" s="30" t="n"/>
      <c r="E304" s="18" t="n"/>
      <c r="F304" s="5" t="n"/>
      <c r="G304" s="18" t="n"/>
      <c r="H304" s="30" t="n"/>
      <c r="I304" s="18" t="n"/>
      <c r="J304" s="5" t="n"/>
      <c r="K304">
        <f>IF($A304="","",$A304&amp;"|"&amp;COUNTIF($A$2:$A304,$A304))</f>
        <v/>
      </c>
      <c r="L304">
        <f>IF($G304="","",$G304&amp;IF($H304="",""," / "&amp;$H304)&amp;IF($I304="",""," / "&amp;$I304))</f>
        <v/>
      </c>
    </row>
    <row r="305">
      <c r="A305" s="18" t="n"/>
      <c r="B305" s="18" t="n"/>
      <c r="C305" s="18" t="n"/>
      <c r="D305" s="30" t="n"/>
      <c r="E305" s="18" t="n"/>
      <c r="F305" s="5" t="n"/>
      <c r="G305" s="18" t="n"/>
      <c r="H305" s="30" t="n"/>
      <c r="I305" s="18" t="n"/>
      <c r="J305" s="5" t="n"/>
      <c r="K305">
        <f>IF($A305="","",$A305&amp;"|"&amp;COUNTIF($A$2:$A305,$A305))</f>
        <v/>
      </c>
      <c r="L305">
        <f>IF($G305="","",$G305&amp;IF($H305="",""," / "&amp;$H305)&amp;IF($I305="",""," / "&amp;$I305))</f>
        <v/>
      </c>
    </row>
    <row r="306">
      <c r="A306" s="18" t="n"/>
      <c r="B306" s="18" t="n"/>
      <c r="C306" s="18" t="n"/>
      <c r="D306" s="30" t="n"/>
      <c r="E306" s="18" t="n"/>
      <c r="F306" s="5" t="n"/>
      <c r="G306" s="18" t="n"/>
      <c r="H306" s="30" t="n"/>
      <c r="I306" s="18" t="n"/>
      <c r="J306" s="5" t="n"/>
      <c r="K306">
        <f>IF($A306="","",$A306&amp;"|"&amp;COUNTIF($A$2:$A306,$A306))</f>
        <v/>
      </c>
      <c r="L306">
        <f>IF($G306="","",$G306&amp;IF($H306="",""," / "&amp;$H306)&amp;IF($I306="",""," / "&amp;$I306))</f>
        <v/>
      </c>
    </row>
    <row r="307">
      <c r="A307" s="18" t="n"/>
      <c r="B307" s="18" t="n"/>
      <c r="C307" s="18" t="n"/>
      <c r="D307" s="30" t="n"/>
      <c r="E307" s="18" t="n"/>
      <c r="F307" s="5" t="n"/>
      <c r="G307" s="18" t="n"/>
      <c r="H307" s="30" t="n"/>
      <c r="I307" s="18" t="n"/>
      <c r="J307" s="5" t="n"/>
      <c r="K307">
        <f>IF($A307="","",$A307&amp;"|"&amp;COUNTIF($A$2:$A307,$A307))</f>
        <v/>
      </c>
      <c r="L307">
        <f>IF($G307="","",$G307&amp;IF($H307="",""," / "&amp;$H307)&amp;IF($I307="",""," / "&amp;$I307))</f>
        <v/>
      </c>
    </row>
    <row r="308">
      <c r="A308" s="18" t="n"/>
      <c r="B308" s="18" t="n"/>
      <c r="C308" s="18" t="n"/>
      <c r="D308" s="30" t="n"/>
      <c r="E308" s="18" t="n"/>
      <c r="F308" s="5" t="n"/>
      <c r="G308" s="18" t="n"/>
      <c r="H308" s="30" t="n"/>
      <c r="I308" s="18" t="n"/>
      <c r="J308" s="5" t="n"/>
      <c r="K308">
        <f>IF($A308="","",$A308&amp;"|"&amp;COUNTIF($A$2:$A308,$A308))</f>
        <v/>
      </c>
      <c r="L308">
        <f>IF($G308="","",$G308&amp;IF($H308="",""," / "&amp;$H308)&amp;IF($I308="",""," / "&amp;$I308))</f>
        <v/>
      </c>
    </row>
    <row r="309">
      <c r="A309" s="18" t="n"/>
      <c r="B309" s="18" t="n"/>
      <c r="C309" s="18" t="n"/>
      <c r="D309" s="30" t="n"/>
      <c r="E309" s="18" t="n"/>
      <c r="F309" s="5" t="n"/>
      <c r="G309" s="18" t="n"/>
      <c r="H309" s="30" t="n"/>
      <c r="I309" s="18" t="n"/>
      <c r="J309" s="5" t="n"/>
      <c r="K309">
        <f>IF($A309="","",$A309&amp;"|"&amp;COUNTIF($A$2:$A309,$A309))</f>
        <v/>
      </c>
      <c r="L309">
        <f>IF($G309="","",$G309&amp;IF($H309="",""," / "&amp;$H309)&amp;IF($I309="",""," / "&amp;$I309))</f>
        <v/>
      </c>
    </row>
    <row r="310">
      <c r="A310" s="18" t="n"/>
      <c r="B310" s="18" t="n"/>
      <c r="C310" s="18" t="n"/>
      <c r="D310" s="30" t="n"/>
      <c r="E310" s="18" t="n"/>
      <c r="F310" s="5" t="n"/>
      <c r="G310" s="18" t="n"/>
      <c r="H310" s="30" t="n"/>
      <c r="I310" s="18" t="n"/>
      <c r="J310" s="5" t="n"/>
      <c r="K310">
        <f>IF($A310="","",$A310&amp;"|"&amp;COUNTIF($A$2:$A310,$A310))</f>
        <v/>
      </c>
      <c r="L310">
        <f>IF($G310="","",$G310&amp;IF($H310="",""," / "&amp;$H310)&amp;IF($I310="",""," / "&amp;$I310))</f>
        <v/>
      </c>
    </row>
    <row r="311">
      <c r="A311" s="18" t="n"/>
      <c r="B311" s="18" t="n"/>
      <c r="C311" s="18" t="n"/>
      <c r="D311" s="30" t="n"/>
      <c r="E311" s="18" t="n"/>
      <c r="F311" s="5" t="n"/>
      <c r="G311" s="18" t="n"/>
      <c r="H311" s="30" t="n"/>
      <c r="I311" s="18" t="n"/>
      <c r="J311" s="5" t="n"/>
      <c r="K311">
        <f>IF($A311="","",$A311&amp;"|"&amp;COUNTIF($A$2:$A311,$A311))</f>
        <v/>
      </c>
      <c r="L311">
        <f>IF($G311="","",$G311&amp;IF($H311="",""," / "&amp;$H311)&amp;IF($I311="",""," / "&amp;$I311))</f>
        <v/>
      </c>
    </row>
    <row r="312">
      <c r="A312" s="18" t="n"/>
      <c r="B312" s="18" t="n"/>
      <c r="C312" s="18" t="n"/>
      <c r="D312" s="30" t="n"/>
      <c r="E312" s="18" t="n"/>
      <c r="F312" s="5" t="n"/>
      <c r="G312" s="18" t="n"/>
      <c r="H312" s="30" t="n"/>
      <c r="I312" s="18" t="n"/>
      <c r="J312" s="5" t="n"/>
      <c r="K312">
        <f>IF($A312="","",$A312&amp;"|"&amp;COUNTIF($A$2:$A312,$A312))</f>
        <v/>
      </c>
      <c r="L312">
        <f>IF($G312="","",$G312&amp;IF($H312="",""," / "&amp;$H312)&amp;IF($I312="",""," / "&amp;$I312))</f>
        <v/>
      </c>
    </row>
    <row r="313">
      <c r="A313" s="18" t="n"/>
      <c r="B313" s="18" t="n"/>
      <c r="C313" s="18" t="n"/>
      <c r="D313" s="30" t="n"/>
      <c r="E313" s="18" t="n"/>
      <c r="F313" s="5" t="n"/>
      <c r="G313" s="18" t="n"/>
      <c r="H313" s="30" t="n"/>
      <c r="I313" s="18" t="n"/>
      <c r="J313" s="5" t="n"/>
      <c r="K313">
        <f>IF($A313="","",$A313&amp;"|"&amp;COUNTIF($A$2:$A313,$A313))</f>
        <v/>
      </c>
      <c r="L313">
        <f>IF($G313="","",$G313&amp;IF($H313="",""," / "&amp;$H313)&amp;IF($I313="",""," / "&amp;$I313))</f>
        <v/>
      </c>
    </row>
    <row r="314">
      <c r="A314" s="18" t="n"/>
      <c r="B314" s="18" t="n"/>
      <c r="C314" s="18" t="n"/>
      <c r="D314" s="30" t="n"/>
      <c r="E314" s="18" t="n"/>
      <c r="F314" s="5" t="n"/>
      <c r="G314" s="18" t="n"/>
      <c r="H314" s="30" t="n"/>
      <c r="I314" s="18" t="n"/>
      <c r="J314" s="5" t="n"/>
      <c r="K314">
        <f>IF($A314="","",$A314&amp;"|"&amp;COUNTIF($A$2:$A314,$A314))</f>
        <v/>
      </c>
      <c r="L314">
        <f>IF($G314="","",$G314&amp;IF($H314="",""," / "&amp;$H314)&amp;IF($I314="",""," / "&amp;$I314))</f>
        <v/>
      </c>
    </row>
    <row r="315">
      <c r="A315" s="18" t="n"/>
      <c r="B315" s="18" t="n"/>
      <c r="C315" s="18" t="n"/>
      <c r="D315" s="30" t="n"/>
      <c r="E315" s="18" t="n"/>
      <c r="F315" s="5" t="n"/>
      <c r="G315" s="18" t="n"/>
      <c r="H315" s="30" t="n"/>
      <c r="I315" s="18" t="n"/>
      <c r="J315" s="5" t="n"/>
      <c r="K315">
        <f>IF($A315="","",$A315&amp;"|"&amp;COUNTIF($A$2:$A315,$A315))</f>
        <v/>
      </c>
      <c r="L315">
        <f>IF($G315="","",$G315&amp;IF($H315="",""," / "&amp;$H315)&amp;IF($I315="",""," / "&amp;$I315))</f>
        <v/>
      </c>
    </row>
    <row r="316">
      <c r="A316" s="18" t="n"/>
      <c r="B316" s="18" t="n"/>
      <c r="C316" s="18" t="n"/>
      <c r="D316" s="30" t="n"/>
      <c r="E316" s="18" t="n"/>
      <c r="F316" s="5" t="n"/>
      <c r="G316" s="18" t="n"/>
      <c r="H316" s="30" t="n"/>
      <c r="I316" s="18" t="n"/>
      <c r="J316" s="5" t="n"/>
      <c r="K316">
        <f>IF($A316="","",$A316&amp;"|"&amp;COUNTIF($A$2:$A316,$A316))</f>
        <v/>
      </c>
      <c r="L316">
        <f>IF($G316="","",$G316&amp;IF($H316="",""," / "&amp;$H316)&amp;IF($I316="",""," / "&amp;$I316))</f>
        <v/>
      </c>
    </row>
    <row r="317">
      <c r="A317" s="18" t="n"/>
      <c r="B317" s="18" t="n"/>
      <c r="C317" s="18" t="n"/>
      <c r="D317" s="30" t="n"/>
      <c r="E317" s="18" t="n"/>
      <c r="F317" s="5" t="n"/>
      <c r="G317" s="18" t="n"/>
      <c r="H317" s="30" t="n"/>
      <c r="I317" s="18" t="n"/>
      <c r="J317" s="5" t="n"/>
      <c r="K317">
        <f>IF($A317="","",$A317&amp;"|"&amp;COUNTIF($A$2:$A317,$A317))</f>
        <v/>
      </c>
      <c r="L317">
        <f>IF($G317="","",$G317&amp;IF($H317="",""," / "&amp;$H317)&amp;IF($I317="",""," / "&amp;$I317))</f>
        <v/>
      </c>
    </row>
    <row r="318">
      <c r="A318" s="18" t="n"/>
      <c r="B318" s="18" t="n"/>
      <c r="C318" s="18" t="n"/>
      <c r="D318" s="30" t="n"/>
      <c r="E318" s="18" t="n"/>
      <c r="F318" s="5" t="n"/>
      <c r="G318" s="18" t="n"/>
      <c r="H318" s="30" t="n"/>
      <c r="I318" s="18" t="n"/>
      <c r="J318" s="5" t="n"/>
      <c r="K318">
        <f>IF($A318="","",$A318&amp;"|"&amp;COUNTIF($A$2:$A318,$A318))</f>
        <v/>
      </c>
      <c r="L318">
        <f>IF($G318="","",$G318&amp;IF($H318="",""," / "&amp;$H318)&amp;IF($I318="",""," / "&amp;$I318))</f>
        <v/>
      </c>
    </row>
    <row r="319">
      <c r="A319" s="18" t="n"/>
      <c r="B319" s="18" t="n"/>
      <c r="C319" s="18" t="n"/>
      <c r="D319" s="30" t="n"/>
      <c r="E319" s="18" t="n"/>
      <c r="F319" s="5" t="n"/>
      <c r="G319" s="18" t="n"/>
      <c r="H319" s="30" t="n"/>
      <c r="I319" s="18" t="n"/>
      <c r="J319" s="5" t="n"/>
      <c r="K319">
        <f>IF($A319="","",$A319&amp;"|"&amp;COUNTIF($A$2:$A319,$A319))</f>
        <v/>
      </c>
      <c r="L319">
        <f>IF($G319="","",$G319&amp;IF($H319="",""," / "&amp;$H319)&amp;IF($I319="",""," / "&amp;$I319))</f>
        <v/>
      </c>
    </row>
    <row r="320">
      <c r="A320" s="18" t="n"/>
      <c r="B320" s="18" t="n"/>
      <c r="C320" s="18" t="n"/>
      <c r="D320" s="30" t="n"/>
      <c r="E320" s="18" t="n"/>
      <c r="F320" s="5" t="n"/>
      <c r="G320" s="18" t="n"/>
      <c r="H320" s="30" t="n"/>
      <c r="I320" s="18" t="n"/>
      <c r="J320" s="5" t="n"/>
      <c r="K320">
        <f>IF($A320="","",$A320&amp;"|"&amp;COUNTIF($A$2:$A320,$A320))</f>
        <v/>
      </c>
      <c r="L320">
        <f>IF($G320="","",$G320&amp;IF($H320="",""," / "&amp;$H320)&amp;IF($I320="",""," / "&amp;$I320))</f>
        <v/>
      </c>
    </row>
    <row r="321">
      <c r="A321" s="18" t="n"/>
      <c r="B321" s="18" t="n"/>
      <c r="C321" s="18" t="n"/>
      <c r="D321" s="30" t="n"/>
      <c r="E321" s="18" t="n"/>
      <c r="F321" s="5" t="n"/>
      <c r="G321" s="18" t="n"/>
      <c r="H321" s="30" t="n"/>
      <c r="I321" s="18" t="n"/>
      <c r="J321" s="5" t="n"/>
      <c r="K321">
        <f>IF($A321="","",$A321&amp;"|"&amp;COUNTIF($A$2:$A321,$A321))</f>
        <v/>
      </c>
      <c r="L321">
        <f>IF($G321="","",$G321&amp;IF($H321="",""," / "&amp;$H321)&amp;IF($I321="",""," / "&amp;$I321))</f>
        <v/>
      </c>
    </row>
    <row r="322">
      <c r="A322" s="18" t="n"/>
      <c r="B322" s="18" t="n"/>
      <c r="C322" s="18" t="n"/>
      <c r="D322" s="30" t="n"/>
      <c r="E322" s="18" t="n"/>
      <c r="F322" s="5" t="n"/>
      <c r="G322" s="18" t="n"/>
      <c r="H322" s="30" t="n"/>
      <c r="I322" s="18" t="n"/>
      <c r="J322" s="5" t="n"/>
      <c r="K322">
        <f>IF($A322="","",$A322&amp;"|"&amp;COUNTIF($A$2:$A322,$A322))</f>
        <v/>
      </c>
      <c r="L322">
        <f>IF($G322="","",$G322&amp;IF($H322="",""," / "&amp;$H322)&amp;IF($I322="",""," / "&amp;$I322))</f>
        <v/>
      </c>
    </row>
    <row r="323">
      <c r="A323" s="18" t="n"/>
      <c r="B323" s="18" t="n"/>
      <c r="C323" s="18" t="n"/>
      <c r="D323" s="30" t="n"/>
      <c r="E323" s="18" t="n"/>
      <c r="F323" s="5" t="n"/>
      <c r="G323" s="18" t="n"/>
      <c r="H323" s="30" t="n"/>
      <c r="I323" s="18" t="n"/>
      <c r="J323" s="5" t="n"/>
      <c r="K323">
        <f>IF($A323="","",$A323&amp;"|"&amp;COUNTIF($A$2:$A323,$A323))</f>
        <v/>
      </c>
      <c r="L323">
        <f>IF($G323="","",$G323&amp;IF($H323="",""," / "&amp;$H323)&amp;IF($I323="",""," / "&amp;$I323))</f>
        <v/>
      </c>
    </row>
    <row r="324">
      <c r="A324" s="18" t="n"/>
      <c r="B324" s="18" t="n"/>
      <c r="C324" s="18" t="n"/>
      <c r="D324" s="30" t="n"/>
      <c r="E324" s="18" t="n"/>
      <c r="F324" s="5" t="n"/>
      <c r="G324" s="18" t="n"/>
      <c r="H324" s="30" t="n"/>
      <c r="I324" s="18" t="n"/>
      <c r="J324" s="5" t="n"/>
      <c r="K324">
        <f>IF($A324="","",$A324&amp;"|"&amp;COUNTIF($A$2:$A324,$A324))</f>
        <v/>
      </c>
      <c r="L324">
        <f>IF($G324="","",$G324&amp;IF($H324="",""," / "&amp;$H324)&amp;IF($I324="",""," / "&amp;$I324))</f>
        <v/>
      </c>
    </row>
    <row r="325">
      <c r="A325" s="18" t="n"/>
      <c r="B325" s="18" t="n"/>
      <c r="C325" s="18" t="n"/>
      <c r="D325" s="30" t="n"/>
      <c r="E325" s="18" t="n"/>
      <c r="F325" s="5" t="n"/>
      <c r="G325" s="18" t="n"/>
      <c r="H325" s="30" t="n"/>
      <c r="I325" s="18" t="n"/>
      <c r="J325" s="5" t="n"/>
      <c r="K325">
        <f>IF($A325="","",$A325&amp;"|"&amp;COUNTIF($A$2:$A325,$A325))</f>
        <v/>
      </c>
      <c r="L325">
        <f>IF($G325="","",$G325&amp;IF($H325="",""," / "&amp;$H325)&amp;IF($I325="",""," / "&amp;$I325))</f>
        <v/>
      </c>
    </row>
    <row r="326">
      <c r="A326" s="18" t="n"/>
      <c r="B326" s="18" t="n"/>
      <c r="C326" s="18" t="n"/>
      <c r="D326" s="30" t="n"/>
      <c r="E326" s="18" t="n"/>
      <c r="F326" s="5" t="n"/>
      <c r="G326" s="18" t="n"/>
      <c r="H326" s="30" t="n"/>
      <c r="I326" s="18" t="n"/>
      <c r="J326" s="5" t="n"/>
      <c r="K326">
        <f>IF($A326="","",$A326&amp;"|"&amp;COUNTIF($A$2:$A326,$A326))</f>
        <v/>
      </c>
      <c r="L326">
        <f>IF($G326="","",$G326&amp;IF($H326="",""," / "&amp;$H326)&amp;IF($I326="",""," / "&amp;$I326))</f>
        <v/>
      </c>
    </row>
    <row r="327">
      <c r="A327" s="18" t="n"/>
      <c r="B327" s="18" t="n"/>
      <c r="C327" s="18" t="n"/>
      <c r="D327" s="30" t="n"/>
      <c r="E327" s="18" t="n"/>
      <c r="F327" s="5" t="n"/>
      <c r="G327" s="18" t="n"/>
      <c r="H327" s="30" t="n"/>
      <c r="I327" s="18" t="n"/>
      <c r="J327" s="5" t="n"/>
      <c r="K327">
        <f>IF($A327="","",$A327&amp;"|"&amp;COUNTIF($A$2:$A327,$A327))</f>
        <v/>
      </c>
      <c r="L327">
        <f>IF($G327="","",$G327&amp;IF($H327="",""," / "&amp;$H327)&amp;IF($I327="",""," / "&amp;$I327))</f>
        <v/>
      </c>
    </row>
    <row r="328">
      <c r="A328" s="18" t="n"/>
      <c r="B328" s="18" t="n"/>
      <c r="C328" s="18" t="n"/>
      <c r="D328" s="30" t="n"/>
      <c r="E328" s="18" t="n"/>
      <c r="F328" s="5" t="n"/>
      <c r="G328" s="18" t="n"/>
      <c r="H328" s="30" t="n"/>
      <c r="I328" s="18" t="n"/>
      <c r="J328" s="5" t="n"/>
      <c r="K328">
        <f>IF($A328="","",$A328&amp;"|"&amp;COUNTIF($A$2:$A328,$A328))</f>
        <v/>
      </c>
      <c r="L328">
        <f>IF($G328="","",$G328&amp;IF($H328="",""," / "&amp;$H328)&amp;IF($I328="",""," / "&amp;$I328))</f>
        <v/>
      </c>
    </row>
    <row r="329">
      <c r="A329" s="18" t="n"/>
      <c r="B329" s="18" t="n"/>
      <c r="C329" s="18" t="n"/>
      <c r="D329" s="30" t="n"/>
      <c r="E329" s="18" t="n"/>
      <c r="F329" s="5" t="n"/>
      <c r="G329" s="18" t="n"/>
      <c r="H329" s="30" t="n"/>
      <c r="I329" s="18" t="n"/>
      <c r="J329" s="5" t="n"/>
      <c r="K329">
        <f>IF($A329="","",$A329&amp;"|"&amp;COUNTIF($A$2:$A329,$A329))</f>
        <v/>
      </c>
      <c r="L329">
        <f>IF($G329="","",$G329&amp;IF($H329="",""," / "&amp;$H329)&amp;IF($I329="",""," / "&amp;$I329))</f>
        <v/>
      </c>
    </row>
    <row r="330">
      <c r="A330" s="18" t="n"/>
      <c r="B330" s="18" t="n"/>
      <c r="C330" s="18" t="n"/>
      <c r="D330" s="30" t="n"/>
      <c r="E330" s="18" t="n"/>
      <c r="F330" s="5" t="n"/>
      <c r="G330" s="18" t="n"/>
      <c r="H330" s="30" t="n"/>
      <c r="I330" s="18" t="n"/>
      <c r="J330" s="5" t="n"/>
      <c r="K330">
        <f>IF($A330="","",$A330&amp;"|"&amp;COUNTIF($A$2:$A330,$A330))</f>
        <v/>
      </c>
      <c r="L330">
        <f>IF($G330="","",$G330&amp;IF($H330="",""," / "&amp;$H330)&amp;IF($I330="",""," / "&amp;$I330))</f>
        <v/>
      </c>
    </row>
    <row r="331">
      <c r="A331" s="18" t="n"/>
      <c r="B331" s="18" t="n"/>
      <c r="C331" s="18" t="n"/>
      <c r="D331" s="30" t="n"/>
      <c r="E331" s="18" t="n"/>
      <c r="F331" s="5" t="n"/>
      <c r="G331" s="18" t="n"/>
      <c r="H331" s="30" t="n"/>
      <c r="I331" s="18" t="n"/>
      <c r="J331" s="5" t="n"/>
      <c r="K331">
        <f>IF($A331="","",$A331&amp;"|"&amp;COUNTIF($A$2:$A331,$A331))</f>
        <v/>
      </c>
      <c r="L331">
        <f>IF($G331="","",$G331&amp;IF($H331="",""," / "&amp;$H331)&amp;IF($I331="",""," / "&amp;$I331))</f>
        <v/>
      </c>
    </row>
    <row r="332">
      <c r="A332" s="18" t="n"/>
      <c r="B332" s="18" t="n"/>
      <c r="C332" s="18" t="n"/>
      <c r="D332" s="30" t="n"/>
      <c r="E332" s="18" t="n"/>
      <c r="F332" s="5" t="n"/>
      <c r="G332" s="18" t="n"/>
      <c r="H332" s="30" t="n"/>
      <c r="I332" s="18" t="n"/>
      <c r="J332" s="5" t="n"/>
      <c r="K332">
        <f>IF($A332="","",$A332&amp;"|"&amp;COUNTIF($A$2:$A332,$A332))</f>
        <v/>
      </c>
      <c r="L332">
        <f>IF($G332="","",$G332&amp;IF($H332="",""," / "&amp;$H332)&amp;IF($I332="",""," / "&amp;$I332))</f>
        <v/>
      </c>
    </row>
    <row r="333">
      <c r="A333" s="18" t="n"/>
      <c r="B333" s="18" t="n"/>
      <c r="C333" s="18" t="n"/>
      <c r="D333" s="30" t="n"/>
      <c r="E333" s="18" t="n"/>
      <c r="F333" s="5" t="n"/>
      <c r="G333" s="18" t="n"/>
      <c r="H333" s="30" t="n"/>
      <c r="I333" s="18" t="n"/>
      <c r="J333" s="5" t="n"/>
      <c r="K333">
        <f>IF($A333="","",$A333&amp;"|"&amp;COUNTIF($A$2:$A333,$A333))</f>
        <v/>
      </c>
      <c r="L333">
        <f>IF($G333="","",$G333&amp;IF($H333="",""," / "&amp;$H333)&amp;IF($I333="",""," / "&amp;$I333))</f>
        <v/>
      </c>
    </row>
    <row r="334">
      <c r="A334" s="18" t="n"/>
      <c r="B334" s="18" t="n"/>
      <c r="C334" s="18" t="n"/>
      <c r="D334" s="30" t="n"/>
      <c r="E334" s="18" t="n"/>
      <c r="F334" s="5" t="n"/>
      <c r="G334" s="18" t="n"/>
      <c r="H334" s="30" t="n"/>
      <c r="I334" s="18" t="n"/>
      <c r="J334" s="5" t="n"/>
      <c r="K334">
        <f>IF($A334="","",$A334&amp;"|"&amp;COUNTIF($A$2:$A334,$A334))</f>
        <v/>
      </c>
      <c r="L334">
        <f>IF($G334="","",$G334&amp;IF($H334="",""," / "&amp;$H334)&amp;IF($I334="",""," / "&amp;$I334))</f>
        <v/>
      </c>
    </row>
    <row r="335">
      <c r="A335" s="18" t="n"/>
      <c r="B335" s="18" t="n"/>
      <c r="C335" s="18" t="n"/>
      <c r="D335" s="30" t="n"/>
      <c r="E335" s="18" t="n"/>
      <c r="F335" s="5" t="n"/>
      <c r="G335" s="18" t="n"/>
      <c r="H335" s="30" t="n"/>
      <c r="I335" s="18" t="n"/>
      <c r="J335" s="5" t="n"/>
      <c r="K335">
        <f>IF($A335="","",$A335&amp;"|"&amp;COUNTIF($A$2:$A335,$A335))</f>
        <v/>
      </c>
      <c r="L335">
        <f>IF($G335="","",$G335&amp;IF($H335="",""," / "&amp;$H335)&amp;IF($I335="",""," / "&amp;$I335))</f>
        <v/>
      </c>
    </row>
    <row r="336">
      <c r="A336" s="18" t="n"/>
      <c r="B336" s="18" t="n"/>
      <c r="C336" s="18" t="n"/>
      <c r="D336" s="30" t="n"/>
      <c r="E336" s="18" t="n"/>
      <c r="F336" s="5" t="n"/>
      <c r="G336" s="18" t="n"/>
      <c r="H336" s="30" t="n"/>
      <c r="I336" s="18" t="n"/>
      <c r="J336" s="5" t="n"/>
      <c r="K336">
        <f>IF($A336="","",$A336&amp;"|"&amp;COUNTIF($A$2:$A336,$A336))</f>
        <v/>
      </c>
      <c r="L336">
        <f>IF($G336="","",$G336&amp;IF($H336="",""," / "&amp;$H336)&amp;IF($I336="",""," / "&amp;$I336))</f>
        <v/>
      </c>
    </row>
    <row r="337">
      <c r="A337" s="18" t="n"/>
      <c r="B337" s="18" t="n"/>
      <c r="C337" s="18" t="n"/>
      <c r="D337" s="30" t="n"/>
      <c r="E337" s="18" t="n"/>
      <c r="F337" s="5" t="n"/>
      <c r="G337" s="18" t="n"/>
      <c r="H337" s="30" t="n"/>
      <c r="I337" s="18" t="n"/>
      <c r="J337" s="5" t="n"/>
      <c r="K337">
        <f>IF($A337="","",$A337&amp;"|"&amp;COUNTIF($A$2:$A337,$A337))</f>
        <v/>
      </c>
      <c r="L337">
        <f>IF($G337="","",$G337&amp;IF($H337="",""," / "&amp;$H337)&amp;IF($I337="",""," / "&amp;$I337))</f>
        <v/>
      </c>
    </row>
    <row r="338">
      <c r="A338" s="18" t="n"/>
      <c r="B338" s="18" t="n"/>
      <c r="C338" s="18" t="n"/>
      <c r="D338" s="30" t="n"/>
      <c r="E338" s="18" t="n"/>
      <c r="F338" s="5" t="n"/>
      <c r="G338" s="18" t="n"/>
      <c r="H338" s="30" t="n"/>
      <c r="I338" s="18" t="n"/>
      <c r="J338" s="5" t="n"/>
      <c r="K338">
        <f>IF($A338="","",$A338&amp;"|"&amp;COUNTIF($A$2:$A338,$A338))</f>
        <v/>
      </c>
      <c r="L338">
        <f>IF($G338="","",$G338&amp;IF($H338="",""," / "&amp;$H338)&amp;IF($I338="",""," / "&amp;$I338))</f>
        <v/>
      </c>
    </row>
    <row r="339">
      <c r="A339" s="18" t="n"/>
      <c r="B339" s="18" t="n"/>
      <c r="C339" s="18" t="n"/>
      <c r="D339" s="30" t="n"/>
      <c r="E339" s="18" t="n"/>
      <c r="F339" s="5" t="n"/>
      <c r="G339" s="18" t="n"/>
      <c r="H339" s="30" t="n"/>
      <c r="I339" s="18" t="n"/>
      <c r="J339" s="5" t="n"/>
      <c r="K339">
        <f>IF($A339="","",$A339&amp;"|"&amp;COUNTIF($A$2:$A339,$A339))</f>
        <v/>
      </c>
      <c r="L339">
        <f>IF($G339="","",$G339&amp;IF($H339="",""," / "&amp;$H339)&amp;IF($I339="",""," / "&amp;$I339))</f>
        <v/>
      </c>
    </row>
    <row r="340">
      <c r="A340" s="18" t="n"/>
      <c r="B340" s="18" t="n"/>
      <c r="C340" s="18" t="n"/>
      <c r="D340" s="30" t="n"/>
      <c r="E340" s="18" t="n"/>
      <c r="F340" s="5" t="n"/>
      <c r="G340" s="18" t="n"/>
      <c r="H340" s="30" t="n"/>
      <c r="I340" s="18" t="n"/>
      <c r="J340" s="5" t="n"/>
      <c r="K340">
        <f>IF($A340="","",$A340&amp;"|"&amp;COUNTIF($A$2:$A340,$A340))</f>
        <v/>
      </c>
      <c r="L340">
        <f>IF($G340="","",$G340&amp;IF($H340="",""," / "&amp;$H340)&amp;IF($I340="",""," / "&amp;$I340))</f>
        <v/>
      </c>
    </row>
    <row r="341">
      <c r="A341" s="18" t="n"/>
      <c r="B341" s="18" t="n"/>
      <c r="C341" s="18" t="n"/>
      <c r="D341" s="30" t="n"/>
      <c r="E341" s="18" t="n"/>
      <c r="F341" s="5" t="n"/>
      <c r="G341" s="18" t="n"/>
      <c r="H341" s="30" t="n"/>
      <c r="I341" s="18" t="n"/>
      <c r="J341" s="5" t="n"/>
      <c r="K341">
        <f>IF($A341="","",$A341&amp;"|"&amp;COUNTIF($A$2:$A341,$A341))</f>
        <v/>
      </c>
      <c r="L341">
        <f>IF($G341="","",$G341&amp;IF($H341="",""," / "&amp;$H341)&amp;IF($I341="",""," / "&amp;$I341))</f>
        <v/>
      </c>
    </row>
    <row r="342">
      <c r="A342" s="18" t="n"/>
      <c r="B342" s="18" t="n"/>
      <c r="C342" s="18" t="n"/>
      <c r="D342" s="30" t="n"/>
      <c r="E342" s="18" t="n"/>
      <c r="F342" s="5" t="n"/>
      <c r="G342" s="18" t="n"/>
      <c r="H342" s="30" t="n"/>
      <c r="I342" s="18" t="n"/>
      <c r="J342" s="5" t="n"/>
      <c r="K342">
        <f>IF($A342="","",$A342&amp;"|"&amp;COUNTIF($A$2:$A342,$A342))</f>
        <v/>
      </c>
      <c r="L342">
        <f>IF($G342="","",$G342&amp;IF($H342="",""," / "&amp;$H342)&amp;IF($I342="",""," / "&amp;$I342))</f>
        <v/>
      </c>
    </row>
    <row r="343">
      <c r="A343" s="18" t="n"/>
      <c r="B343" s="18" t="n"/>
      <c r="C343" s="18" t="n"/>
      <c r="D343" s="30" t="n"/>
      <c r="E343" s="18" t="n"/>
      <c r="F343" s="5" t="n"/>
      <c r="G343" s="18" t="n"/>
      <c r="H343" s="30" t="n"/>
      <c r="I343" s="18" t="n"/>
      <c r="J343" s="5" t="n"/>
      <c r="K343">
        <f>IF($A343="","",$A343&amp;"|"&amp;COUNTIF($A$2:$A343,$A343))</f>
        <v/>
      </c>
      <c r="L343">
        <f>IF($G343="","",$G343&amp;IF($H343="",""," / "&amp;$H343)&amp;IF($I343="",""," / "&amp;$I343))</f>
        <v/>
      </c>
    </row>
    <row r="344">
      <c r="A344" s="18" t="n"/>
      <c r="B344" s="18" t="n"/>
      <c r="C344" s="18" t="n"/>
      <c r="D344" s="30" t="n"/>
      <c r="E344" s="18" t="n"/>
      <c r="F344" s="5" t="n"/>
      <c r="G344" s="18" t="n"/>
      <c r="H344" s="30" t="n"/>
      <c r="I344" s="18" t="n"/>
      <c r="J344" s="5" t="n"/>
      <c r="K344">
        <f>IF($A344="","",$A344&amp;"|"&amp;COUNTIF($A$2:$A344,$A344))</f>
        <v/>
      </c>
      <c r="L344">
        <f>IF($G344="","",$G344&amp;IF($H344="",""," / "&amp;$H344)&amp;IF($I344="",""," / "&amp;$I344))</f>
        <v/>
      </c>
    </row>
    <row r="345">
      <c r="A345" s="18" t="n"/>
      <c r="B345" s="18" t="n"/>
      <c r="C345" s="18" t="n"/>
      <c r="D345" s="30" t="n"/>
      <c r="E345" s="18" t="n"/>
      <c r="F345" s="5" t="n"/>
      <c r="G345" s="18" t="n"/>
      <c r="H345" s="30" t="n"/>
      <c r="I345" s="18" t="n"/>
      <c r="J345" s="5" t="n"/>
      <c r="K345">
        <f>IF($A345="","",$A345&amp;"|"&amp;COUNTIF($A$2:$A345,$A345))</f>
        <v/>
      </c>
      <c r="L345">
        <f>IF($G345="","",$G345&amp;IF($H345="",""," / "&amp;$H345)&amp;IF($I345="",""," / "&amp;$I345))</f>
        <v/>
      </c>
    </row>
    <row r="346">
      <c r="A346" s="18" t="n"/>
      <c r="B346" s="18" t="n"/>
      <c r="C346" s="18" t="n"/>
      <c r="D346" s="30" t="n"/>
      <c r="E346" s="18" t="n"/>
      <c r="F346" s="5" t="n"/>
      <c r="G346" s="18" t="n"/>
      <c r="H346" s="30" t="n"/>
      <c r="I346" s="18" t="n"/>
      <c r="J346" s="5" t="n"/>
      <c r="K346">
        <f>IF($A346="","",$A346&amp;"|"&amp;COUNTIF($A$2:$A346,$A346))</f>
        <v/>
      </c>
      <c r="L346">
        <f>IF($G346="","",$G346&amp;IF($H346="",""," / "&amp;$H346)&amp;IF($I346="",""," / "&amp;$I346))</f>
        <v/>
      </c>
    </row>
    <row r="347">
      <c r="A347" s="18" t="n"/>
      <c r="B347" s="18" t="n"/>
      <c r="C347" s="18" t="n"/>
      <c r="D347" s="30" t="n"/>
      <c r="E347" s="18" t="n"/>
      <c r="F347" s="5" t="n"/>
      <c r="G347" s="18" t="n"/>
      <c r="H347" s="30" t="n"/>
      <c r="I347" s="18" t="n"/>
      <c r="J347" s="5" t="n"/>
      <c r="K347">
        <f>IF($A347="","",$A347&amp;"|"&amp;COUNTIF($A$2:$A347,$A347))</f>
        <v/>
      </c>
      <c r="L347">
        <f>IF($G347="","",$G347&amp;IF($H347="",""," / "&amp;$H347)&amp;IF($I347="",""," / "&amp;$I347))</f>
        <v/>
      </c>
    </row>
    <row r="348">
      <c r="A348" s="18" t="n"/>
      <c r="B348" s="18" t="n"/>
      <c r="C348" s="18" t="n"/>
      <c r="D348" s="30" t="n"/>
      <c r="E348" s="18" t="n"/>
      <c r="F348" s="5" t="n"/>
      <c r="G348" s="18" t="n"/>
      <c r="H348" s="30" t="n"/>
      <c r="I348" s="18" t="n"/>
      <c r="J348" s="5" t="n"/>
      <c r="K348">
        <f>IF($A348="","",$A348&amp;"|"&amp;COUNTIF($A$2:$A348,$A348))</f>
        <v/>
      </c>
      <c r="L348">
        <f>IF($G348="","",$G348&amp;IF($H348="",""," / "&amp;$H348)&amp;IF($I348="",""," / "&amp;$I348))</f>
        <v/>
      </c>
    </row>
    <row r="349">
      <c r="A349" s="18" t="n"/>
      <c r="B349" s="18" t="n"/>
      <c r="C349" s="18" t="n"/>
      <c r="D349" s="30" t="n"/>
      <c r="E349" s="18" t="n"/>
      <c r="F349" s="5" t="n"/>
      <c r="G349" s="18" t="n"/>
      <c r="H349" s="30" t="n"/>
      <c r="I349" s="18" t="n"/>
      <c r="J349" s="5" t="n"/>
      <c r="K349">
        <f>IF($A349="","",$A349&amp;"|"&amp;COUNTIF($A$2:$A349,$A349))</f>
        <v/>
      </c>
      <c r="L349">
        <f>IF($G349="","",$G349&amp;IF($H349="",""," / "&amp;$H349)&amp;IF($I349="",""," / "&amp;$I349))</f>
        <v/>
      </c>
    </row>
    <row r="350">
      <c r="A350" s="18" t="n"/>
      <c r="B350" s="18" t="n"/>
      <c r="C350" s="18" t="n"/>
      <c r="D350" s="30" t="n"/>
      <c r="E350" s="18" t="n"/>
      <c r="F350" s="5" t="n"/>
      <c r="G350" s="18" t="n"/>
      <c r="H350" s="30" t="n"/>
      <c r="I350" s="18" t="n"/>
      <c r="J350" s="5" t="n"/>
      <c r="K350">
        <f>IF($A350="","",$A350&amp;"|"&amp;COUNTIF($A$2:$A350,$A350))</f>
        <v/>
      </c>
      <c r="L350">
        <f>IF($G350="","",$G350&amp;IF($H350="",""," / "&amp;$H350)&amp;IF($I350="",""," / "&amp;$I350))</f>
        <v/>
      </c>
    </row>
    <row r="351">
      <c r="A351" s="18" t="n"/>
      <c r="B351" s="18" t="n"/>
      <c r="C351" s="18" t="n"/>
      <c r="D351" s="30" t="n"/>
      <c r="E351" s="18" t="n"/>
      <c r="F351" s="5" t="n"/>
      <c r="G351" s="18" t="n"/>
      <c r="H351" s="30" t="n"/>
      <c r="I351" s="18" t="n"/>
      <c r="J351" s="5" t="n"/>
      <c r="K351">
        <f>IF($A351="","",$A351&amp;"|"&amp;COUNTIF($A$2:$A351,$A351))</f>
        <v/>
      </c>
      <c r="L351">
        <f>IF($G351="","",$G351&amp;IF($H351="",""," / "&amp;$H351)&amp;IF($I351="",""," / "&amp;$I351))</f>
        <v/>
      </c>
    </row>
    <row r="352">
      <c r="A352" s="18" t="n"/>
      <c r="B352" s="18" t="n"/>
      <c r="C352" s="18" t="n"/>
      <c r="D352" s="30" t="n"/>
      <c r="E352" s="18" t="n"/>
      <c r="F352" s="5" t="n"/>
      <c r="G352" s="18" t="n"/>
      <c r="H352" s="30" t="n"/>
      <c r="I352" s="18" t="n"/>
      <c r="J352" s="5" t="n"/>
      <c r="K352">
        <f>IF($A352="","",$A352&amp;"|"&amp;COUNTIF($A$2:$A352,$A352))</f>
        <v/>
      </c>
      <c r="L352">
        <f>IF($G352="","",$G352&amp;IF($H352="",""," / "&amp;$H352)&amp;IF($I352="",""," / "&amp;$I352))</f>
        <v/>
      </c>
    </row>
    <row r="353">
      <c r="A353" s="18" t="n"/>
      <c r="B353" s="18" t="n"/>
      <c r="C353" s="18" t="n"/>
      <c r="D353" s="30" t="n"/>
      <c r="E353" s="18" t="n"/>
      <c r="F353" s="5" t="n"/>
      <c r="G353" s="18" t="n"/>
      <c r="H353" s="30" t="n"/>
      <c r="I353" s="18" t="n"/>
      <c r="J353" s="5" t="n"/>
      <c r="K353">
        <f>IF($A353="","",$A353&amp;"|"&amp;COUNTIF($A$2:$A353,$A353))</f>
        <v/>
      </c>
      <c r="L353">
        <f>IF($G353="","",$G353&amp;IF($H353="",""," / "&amp;$H353)&amp;IF($I353="",""," / "&amp;$I353))</f>
        <v/>
      </c>
    </row>
    <row r="354">
      <c r="A354" s="18" t="n"/>
      <c r="B354" s="18" t="n"/>
      <c r="C354" s="18" t="n"/>
      <c r="D354" s="30" t="n"/>
      <c r="E354" s="18" t="n"/>
      <c r="F354" s="5" t="n"/>
      <c r="G354" s="18" t="n"/>
      <c r="H354" s="30" t="n"/>
      <c r="I354" s="18" t="n"/>
      <c r="J354" s="5" t="n"/>
      <c r="K354">
        <f>IF($A354="","",$A354&amp;"|"&amp;COUNTIF($A$2:$A354,$A354))</f>
        <v/>
      </c>
      <c r="L354">
        <f>IF($G354="","",$G354&amp;IF($H354="",""," / "&amp;$H354)&amp;IF($I354="",""," / "&amp;$I354))</f>
        <v/>
      </c>
    </row>
    <row r="355">
      <c r="A355" s="18" t="n"/>
      <c r="B355" s="18" t="n"/>
      <c r="C355" s="18" t="n"/>
      <c r="D355" s="30" t="n"/>
      <c r="E355" s="18" t="n"/>
      <c r="F355" s="5" t="n"/>
      <c r="G355" s="18" t="n"/>
      <c r="H355" s="30" t="n"/>
      <c r="I355" s="18" t="n"/>
      <c r="J355" s="5" t="n"/>
      <c r="K355">
        <f>IF($A355="","",$A355&amp;"|"&amp;COUNTIF($A$2:$A355,$A355))</f>
        <v/>
      </c>
      <c r="L355">
        <f>IF($G355="","",$G355&amp;IF($H355="",""," / "&amp;$H355)&amp;IF($I355="",""," / "&amp;$I355))</f>
        <v/>
      </c>
    </row>
    <row r="356">
      <c r="A356" s="18" t="n"/>
      <c r="B356" s="18" t="n"/>
      <c r="C356" s="18" t="n"/>
      <c r="D356" s="30" t="n"/>
      <c r="E356" s="18" t="n"/>
      <c r="F356" s="5" t="n"/>
      <c r="G356" s="18" t="n"/>
      <c r="H356" s="30" t="n"/>
      <c r="I356" s="18" t="n"/>
      <c r="J356" s="5" t="n"/>
      <c r="K356">
        <f>IF($A356="","",$A356&amp;"|"&amp;COUNTIF($A$2:$A356,$A356))</f>
        <v/>
      </c>
      <c r="L356">
        <f>IF($G356="","",$G356&amp;IF($H356="",""," / "&amp;$H356)&amp;IF($I356="",""," / "&amp;$I356))</f>
        <v/>
      </c>
    </row>
    <row r="357">
      <c r="A357" s="18" t="n"/>
      <c r="B357" s="18" t="n"/>
      <c r="C357" s="18" t="n"/>
      <c r="D357" s="30" t="n"/>
      <c r="E357" s="18" t="n"/>
      <c r="F357" s="5" t="n"/>
      <c r="G357" s="18" t="n"/>
      <c r="H357" s="30" t="n"/>
      <c r="I357" s="18" t="n"/>
      <c r="J357" s="5" t="n"/>
      <c r="K357">
        <f>IF($A357="","",$A357&amp;"|"&amp;COUNTIF($A$2:$A357,$A357))</f>
        <v/>
      </c>
      <c r="L357">
        <f>IF($G357="","",$G357&amp;IF($H357="",""," / "&amp;$H357)&amp;IF($I357="",""," / "&amp;$I357))</f>
        <v/>
      </c>
    </row>
    <row r="358">
      <c r="A358" s="18" t="n"/>
      <c r="B358" s="18" t="n"/>
      <c r="C358" s="18" t="n"/>
      <c r="D358" s="30" t="n"/>
      <c r="E358" s="18" t="n"/>
      <c r="F358" s="5" t="n"/>
      <c r="G358" s="18" t="n"/>
      <c r="H358" s="30" t="n"/>
      <c r="I358" s="18" t="n"/>
      <c r="J358" s="5" t="n"/>
      <c r="K358">
        <f>IF($A358="","",$A358&amp;"|"&amp;COUNTIF($A$2:$A358,$A358))</f>
        <v/>
      </c>
      <c r="L358">
        <f>IF($G358="","",$G358&amp;IF($H358="",""," / "&amp;$H358)&amp;IF($I358="",""," / "&amp;$I358))</f>
        <v/>
      </c>
    </row>
    <row r="359">
      <c r="A359" s="18" t="n"/>
      <c r="B359" s="18" t="n"/>
      <c r="C359" s="18" t="n"/>
      <c r="D359" s="30" t="n"/>
      <c r="E359" s="18" t="n"/>
      <c r="F359" s="5" t="n"/>
      <c r="G359" s="18" t="n"/>
      <c r="H359" s="30" t="n"/>
      <c r="I359" s="18" t="n"/>
      <c r="J359" s="5" t="n"/>
      <c r="K359">
        <f>IF($A359="","",$A359&amp;"|"&amp;COUNTIF($A$2:$A359,$A359))</f>
        <v/>
      </c>
      <c r="L359">
        <f>IF($G359="","",$G359&amp;IF($H359="",""," / "&amp;$H359)&amp;IF($I359="",""," / "&amp;$I359))</f>
        <v/>
      </c>
    </row>
    <row r="360">
      <c r="A360" s="18" t="n"/>
      <c r="B360" s="18" t="n"/>
      <c r="C360" s="18" t="n"/>
      <c r="D360" s="30" t="n"/>
      <c r="E360" s="18" t="n"/>
      <c r="F360" s="5" t="n"/>
      <c r="G360" s="18" t="n"/>
      <c r="H360" s="30" t="n"/>
      <c r="I360" s="18" t="n"/>
      <c r="J360" s="5" t="n"/>
      <c r="K360">
        <f>IF($A360="","",$A360&amp;"|"&amp;COUNTIF($A$2:$A360,$A360))</f>
        <v/>
      </c>
      <c r="L360">
        <f>IF($G360="","",$G360&amp;IF($H360="",""," / "&amp;$H360)&amp;IF($I360="",""," / "&amp;$I360))</f>
        <v/>
      </c>
    </row>
    <row r="361">
      <c r="A361" s="18" t="n"/>
      <c r="B361" s="18" t="n"/>
      <c r="C361" s="18" t="n"/>
      <c r="D361" s="30" t="n"/>
      <c r="E361" s="18" t="n"/>
      <c r="F361" s="5" t="n"/>
      <c r="G361" s="18" t="n"/>
      <c r="H361" s="30" t="n"/>
      <c r="I361" s="18" t="n"/>
      <c r="J361" s="5" t="n"/>
      <c r="K361">
        <f>IF($A361="","",$A361&amp;"|"&amp;COUNTIF($A$2:$A361,$A361))</f>
        <v/>
      </c>
      <c r="L361">
        <f>IF($G361="","",$G361&amp;IF($H361="",""," / "&amp;$H361)&amp;IF($I361="",""," / "&amp;$I361))</f>
        <v/>
      </c>
    </row>
    <row r="362">
      <c r="A362" s="18" t="n"/>
      <c r="B362" s="18" t="n"/>
      <c r="C362" s="18" t="n"/>
      <c r="D362" s="30" t="n"/>
      <c r="E362" s="18" t="n"/>
      <c r="F362" s="5" t="n"/>
      <c r="G362" s="18" t="n"/>
      <c r="H362" s="30" t="n"/>
      <c r="I362" s="18" t="n"/>
      <c r="J362" s="5" t="n"/>
      <c r="K362">
        <f>IF($A362="","",$A362&amp;"|"&amp;COUNTIF($A$2:$A362,$A362))</f>
        <v/>
      </c>
      <c r="L362">
        <f>IF($G362="","",$G362&amp;IF($H362="",""," / "&amp;$H362)&amp;IF($I362="",""," / "&amp;$I362))</f>
        <v/>
      </c>
    </row>
    <row r="363">
      <c r="A363" s="18" t="n"/>
      <c r="B363" s="18" t="n"/>
      <c r="C363" s="18" t="n"/>
      <c r="D363" s="30" t="n"/>
      <c r="E363" s="18" t="n"/>
      <c r="F363" s="5" t="n"/>
      <c r="G363" s="18" t="n"/>
      <c r="H363" s="30" t="n"/>
      <c r="I363" s="18" t="n"/>
      <c r="J363" s="5" t="n"/>
      <c r="K363">
        <f>IF($A363="","",$A363&amp;"|"&amp;COUNTIF($A$2:$A363,$A363))</f>
        <v/>
      </c>
      <c r="L363">
        <f>IF($G363="","",$G363&amp;IF($H363="",""," / "&amp;$H363)&amp;IF($I363="",""," / "&amp;$I363))</f>
        <v/>
      </c>
    </row>
    <row r="364">
      <c r="A364" s="18" t="n"/>
      <c r="B364" s="18" t="n"/>
      <c r="C364" s="18" t="n"/>
      <c r="D364" s="30" t="n"/>
      <c r="E364" s="18" t="n"/>
      <c r="F364" s="5" t="n"/>
      <c r="G364" s="18" t="n"/>
      <c r="H364" s="30" t="n"/>
      <c r="I364" s="18" t="n"/>
      <c r="J364" s="5" t="n"/>
      <c r="K364">
        <f>IF($A364="","",$A364&amp;"|"&amp;COUNTIF($A$2:$A364,$A364))</f>
        <v/>
      </c>
      <c r="L364">
        <f>IF($G364="","",$G364&amp;IF($H364="",""," / "&amp;$H364)&amp;IF($I364="",""," / "&amp;$I364))</f>
        <v/>
      </c>
    </row>
    <row r="365">
      <c r="A365" s="18" t="n"/>
      <c r="B365" s="18" t="n"/>
      <c r="C365" s="18" t="n"/>
      <c r="D365" s="30" t="n"/>
      <c r="E365" s="18" t="n"/>
      <c r="F365" s="5" t="n"/>
      <c r="G365" s="18" t="n"/>
      <c r="H365" s="30" t="n"/>
      <c r="I365" s="18" t="n"/>
      <c r="J365" s="5" t="n"/>
      <c r="K365">
        <f>IF($A365="","",$A365&amp;"|"&amp;COUNTIF($A$2:$A365,$A365))</f>
        <v/>
      </c>
      <c r="L365">
        <f>IF($G365="","",$G365&amp;IF($H365="",""," / "&amp;$H365)&amp;IF($I365="",""," / "&amp;$I365))</f>
        <v/>
      </c>
    </row>
    <row r="366">
      <c r="A366" s="18" t="n"/>
      <c r="B366" s="18" t="n"/>
      <c r="C366" s="18" t="n"/>
      <c r="D366" s="30" t="n"/>
      <c r="E366" s="18" t="n"/>
      <c r="F366" s="5" t="n"/>
      <c r="G366" s="18" t="n"/>
      <c r="H366" s="30" t="n"/>
      <c r="I366" s="18" t="n"/>
      <c r="J366" s="5" t="n"/>
      <c r="K366">
        <f>IF($A366="","",$A366&amp;"|"&amp;COUNTIF($A$2:$A366,$A366))</f>
        <v/>
      </c>
      <c r="L366">
        <f>IF($G366="","",$G366&amp;IF($H366="",""," / "&amp;$H366)&amp;IF($I366="",""," / "&amp;$I366))</f>
        <v/>
      </c>
    </row>
    <row r="367">
      <c r="A367" s="18" t="n"/>
      <c r="B367" s="18" t="n"/>
      <c r="C367" s="18" t="n"/>
      <c r="D367" s="30" t="n"/>
      <c r="E367" s="18" t="n"/>
      <c r="F367" s="5" t="n"/>
      <c r="G367" s="18" t="n"/>
      <c r="H367" s="30" t="n"/>
      <c r="I367" s="18" t="n"/>
      <c r="J367" s="5" t="n"/>
      <c r="K367">
        <f>IF($A367="","",$A367&amp;"|"&amp;COUNTIF($A$2:$A367,$A367))</f>
        <v/>
      </c>
      <c r="L367">
        <f>IF($G367="","",$G367&amp;IF($H367="",""," / "&amp;$H367)&amp;IF($I367="",""," / "&amp;$I367))</f>
        <v/>
      </c>
    </row>
    <row r="368">
      <c r="A368" s="18" t="n"/>
      <c r="B368" s="18" t="n"/>
      <c r="C368" s="18" t="n"/>
      <c r="D368" s="30" t="n"/>
      <c r="E368" s="18" t="n"/>
      <c r="F368" s="5" t="n"/>
      <c r="G368" s="18" t="n"/>
      <c r="H368" s="30" t="n"/>
      <c r="I368" s="18" t="n"/>
      <c r="J368" s="5" t="n"/>
      <c r="K368">
        <f>IF($A368="","",$A368&amp;"|"&amp;COUNTIF($A$2:$A368,$A368))</f>
        <v/>
      </c>
      <c r="L368">
        <f>IF($G368="","",$G368&amp;IF($H368="",""," / "&amp;$H368)&amp;IF($I368="",""," / "&amp;$I368))</f>
        <v/>
      </c>
    </row>
    <row r="369">
      <c r="A369" s="18" t="n"/>
      <c r="B369" s="18" t="n"/>
      <c r="C369" s="18" t="n"/>
      <c r="D369" s="30" t="n"/>
      <c r="E369" s="18" t="n"/>
      <c r="F369" s="5" t="n"/>
      <c r="G369" s="18" t="n"/>
      <c r="H369" s="30" t="n"/>
      <c r="I369" s="18" t="n"/>
      <c r="J369" s="5" t="n"/>
      <c r="K369">
        <f>IF($A369="","",$A369&amp;"|"&amp;COUNTIF($A$2:$A369,$A369))</f>
        <v/>
      </c>
      <c r="L369">
        <f>IF($G369="","",$G369&amp;IF($H369="",""," / "&amp;$H369)&amp;IF($I369="",""," / "&amp;$I369))</f>
        <v/>
      </c>
    </row>
    <row r="370">
      <c r="A370" s="18" t="n"/>
      <c r="B370" s="18" t="n"/>
      <c r="C370" s="18" t="n"/>
      <c r="D370" s="30" t="n"/>
      <c r="E370" s="18" t="n"/>
      <c r="F370" s="5" t="n"/>
      <c r="G370" s="18" t="n"/>
      <c r="H370" s="30" t="n"/>
      <c r="I370" s="18" t="n"/>
      <c r="J370" s="5" t="n"/>
      <c r="K370">
        <f>IF($A370="","",$A370&amp;"|"&amp;COUNTIF($A$2:$A370,$A370))</f>
        <v/>
      </c>
      <c r="L370">
        <f>IF($G370="","",$G370&amp;IF($H370="",""," / "&amp;$H370)&amp;IF($I370="",""," / "&amp;$I370))</f>
        <v/>
      </c>
    </row>
    <row r="371">
      <c r="A371" s="18" t="n"/>
      <c r="B371" s="18" t="n"/>
      <c r="C371" s="18" t="n"/>
      <c r="D371" s="30" t="n"/>
      <c r="E371" s="18" t="n"/>
      <c r="F371" s="5" t="n"/>
      <c r="G371" s="18" t="n"/>
      <c r="H371" s="30" t="n"/>
      <c r="I371" s="18" t="n"/>
      <c r="J371" s="5" t="n"/>
      <c r="K371">
        <f>IF($A371="","",$A371&amp;"|"&amp;COUNTIF($A$2:$A371,$A371))</f>
        <v/>
      </c>
      <c r="L371">
        <f>IF($G371="","",$G371&amp;IF($H371="",""," / "&amp;$H371)&amp;IF($I371="",""," / "&amp;$I371))</f>
        <v/>
      </c>
    </row>
    <row r="372">
      <c r="A372" s="18" t="n"/>
      <c r="B372" s="18" t="n"/>
      <c r="C372" s="18" t="n"/>
      <c r="D372" s="30" t="n"/>
      <c r="E372" s="18" t="n"/>
      <c r="F372" s="5" t="n"/>
      <c r="G372" s="18" t="n"/>
      <c r="H372" s="30" t="n"/>
      <c r="I372" s="18" t="n"/>
      <c r="J372" s="5" t="n"/>
      <c r="K372">
        <f>IF($A372="","",$A372&amp;"|"&amp;COUNTIF($A$2:$A372,$A372))</f>
        <v/>
      </c>
      <c r="L372">
        <f>IF($G372="","",$G372&amp;IF($H372="",""," / "&amp;$H372)&amp;IF($I372="",""," / "&amp;$I372))</f>
        <v/>
      </c>
    </row>
    <row r="373">
      <c r="A373" s="18" t="n"/>
      <c r="B373" s="18" t="n"/>
      <c r="C373" s="18" t="n"/>
      <c r="D373" s="30" t="n"/>
      <c r="E373" s="18" t="n"/>
      <c r="F373" s="5" t="n"/>
      <c r="G373" s="18" t="n"/>
      <c r="H373" s="30" t="n"/>
      <c r="I373" s="18" t="n"/>
      <c r="J373" s="5" t="n"/>
      <c r="K373">
        <f>IF($A373="","",$A373&amp;"|"&amp;COUNTIF($A$2:$A373,$A373))</f>
        <v/>
      </c>
      <c r="L373">
        <f>IF($G373="","",$G373&amp;IF($H373="",""," / "&amp;$H373)&amp;IF($I373="",""," / "&amp;$I373))</f>
        <v/>
      </c>
    </row>
    <row r="374">
      <c r="A374" s="18" t="n"/>
      <c r="B374" s="18" t="n"/>
      <c r="C374" s="18" t="n"/>
      <c r="D374" s="30" t="n"/>
      <c r="E374" s="18" t="n"/>
      <c r="F374" s="5" t="n"/>
      <c r="G374" s="18" t="n"/>
      <c r="H374" s="30" t="n"/>
      <c r="I374" s="18" t="n"/>
      <c r="J374" s="5" t="n"/>
      <c r="K374">
        <f>IF($A374="","",$A374&amp;"|"&amp;COUNTIF($A$2:$A374,$A374))</f>
        <v/>
      </c>
      <c r="L374">
        <f>IF($G374="","",$G374&amp;IF($H374="",""," / "&amp;$H374)&amp;IF($I374="",""," / "&amp;$I374))</f>
        <v/>
      </c>
    </row>
    <row r="375">
      <c r="A375" s="18" t="n"/>
      <c r="B375" s="18" t="n"/>
      <c r="C375" s="18" t="n"/>
      <c r="D375" s="30" t="n"/>
      <c r="E375" s="18" t="n"/>
      <c r="F375" s="5" t="n"/>
      <c r="G375" s="18" t="n"/>
      <c r="H375" s="30" t="n"/>
      <c r="I375" s="18" t="n"/>
      <c r="J375" s="5" t="n"/>
      <c r="K375">
        <f>IF($A375="","",$A375&amp;"|"&amp;COUNTIF($A$2:$A375,$A375))</f>
        <v/>
      </c>
      <c r="L375">
        <f>IF($G375="","",$G375&amp;IF($H375="",""," / "&amp;$H375)&amp;IF($I375="",""," / "&amp;$I375))</f>
        <v/>
      </c>
    </row>
    <row r="376">
      <c r="A376" s="18" t="n"/>
      <c r="B376" s="18" t="n"/>
      <c r="C376" s="18" t="n"/>
      <c r="D376" s="30" t="n"/>
      <c r="E376" s="18" t="n"/>
      <c r="F376" s="5" t="n"/>
      <c r="G376" s="18" t="n"/>
      <c r="H376" s="30" t="n"/>
      <c r="I376" s="18" t="n"/>
      <c r="J376" s="5" t="n"/>
      <c r="K376">
        <f>IF($A376="","",$A376&amp;"|"&amp;COUNTIF($A$2:$A376,$A376))</f>
        <v/>
      </c>
      <c r="L376">
        <f>IF($G376="","",$G376&amp;IF($H376="",""," / "&amp;$H376)&amp;IF($I376="",""," / "&amp;$I376))</f>
        <v/>
      </c>
    </row>
    <row r="377">
      <c r="A377" s="18" t="n"/>
      <c r="B377" s="18" t="n"/>
      <c r="C377" s="18" t="n"/>
      <c r="D377" s="30" t="n"/>
      <c r="E377" s="18" t="n"/>
      <c r="F377" s="5" t="n"/>
      <c r="G377" s="18" t="n"/>
      <c r="H377" s="30" t="n"/>
      <c r="I377" s="18" t="n"/>
      <c r="J377" s="5" t="n"/>
      <c r="K377">
        <f>IF($A377="","",$A377&amp;"|"&amp;COUNTIF($A$2:$A377,$A377))</f>
        <v/>
      </c>
      <c r="L377">
        <f>IF($G377="","",$G377&amp;IF($H377="",""," / "&amp;$H377)&amp;IF($I377="",""," / "&amp;$I377))</f>
        <v/>
      </c>
    </row>
    <row r="378">
      <c r="A378" s="18" t="n"/>
      <c r="B378" s="18" t="n"/>
      <c r="C378" s="18" t="n"/>
      <c r="D378" s="30" t="n"/>
      <c r="E378" s="18" t="n"/>
      <c r="F378" s="5" t="n"/>
      <c r="G378" s="18" t="n"/>
      <c r="H378" s="30" t="n"/>
      <c r="I378" s="18" t="n"/>
      <c r="J378" s="5" t="n"/>
      <c r="K378">
        <f>IF($A378="","",$A378&amp;"|"&amp;COUNTIF($A$2:$A378,$A378))</f>
        <v/>
      </c>
      <c r="L378">
        <f>IF($G378="","",$G378&amp;IF($H378="",""," / "&amp;$H378)&amp;IF($I378="",""," / "&amp;$I378))</f>
        <v/>
      </c>
    </row>
    <row r="379">
      <c r="A379" s="18" t="n"/>
      <c r="B379" s="18" t="n"/>
      <c r="C379" s="18" t="n"/>
      <c r="D379" s="30" t="n"/>
      <c r="E379" s="18" t="n"/>
      <c r="F379" s="5" t="n"/>
      <c r="G379" s="18" t="n"/>
      <c r="H379" s="30" t="n"/>
      <c r="I379" s="18" t="n"/>
      <c r="J379" s="5" t="n"/>
      <c r="K379">
        <f>IF($A379="","",$A379&amp;"|"&amp;COUNTIF($A$2:$A379,$A379))</f>
        <v/>
      </c>
      <c r="L379">
        <f>IF($G379="","",$G379&amp;IF($H379="",""," / "&amp;$H379)&amp;IF($I379="",""," / "&amp;$I379))</f>
        <v/>
      </c>
    </row>
    <row r="380">
      <c r="A380" s="18" t="n"/>
      <c r="B380" s="18" t="n"/>
      <c r="C380" s="18" t="n"/>
      <c r="D380" s="30" t="n"/>
      <c r="E380" s="18" t="n"/>
      <c r="F380" s="5" t="n"/>
      <c r="G380" s="18" t="n"/>
      <c r="H380" s="30" t="n"/>
      <c r="I380" s="18" t="n"/>
      <c r="J380" s="5" t="n"/>
      <c r="K380">
        <f>IF($A380="","",$A380&amp;"|"&amp;COUNTIF($A$2:$A380,$A380))</f>
        <v/>
      </c>
      <c r="L380">
        <f>IF($G380="","",$G380&amp;IF($H380="",""," / "&amp;$H380)&amp;IF($I380="",""," / "&amp;$I380))</f>
        <v/>
      </c>
    </row>
    <row r="381">
      <c r="A381" s="18" t="n"/>
      <c r="B381" s="18" t="n"/>
      <c r="C381" s="18" t="n"/>
      <c r="D381" s="30" t="n"/>
      <c r="E381" s="18" t="n"/>
      <c r="F381" s="5" t="n"/>
      <c r="G381" s="18" t="n"/>
      <c r="H381" s="30" t="n"/>
      <c r="I381" s="18" t="n"/>
      <c r="J381" s="5" t="n"/>
      <c r="K381">
        <f>IF($A381="","",$A381&amp;"|"&amp;COUNTIF($A$2:$A381,$A381))</f>
        <v/>
      </c>
      <c r="L381">
        <f>IF($G381="","",$G381&amp;IF($H381="",""," / "&amp;$H381)&amp;IF($I381="",""," / "&amp;$I381))</f>
        <v/>
      </c>
    </row>
    <row r="382">
      <c r="A382" s="18" t="n"/>
      <c r="B382" s="18" t="n"/>
      <c r="C382" s="18" t="n"/>
      <c r="D382" s="30" t="n"/>
      <c r="E382" s="18" t="n"/>
      <c r="F382" s="5" t="n"/>
      <c r="G382" s="18" t="n"/>
      <c r="H382" s="30" t="n"/>
      <c r="I382" s="18" t="n"/>
      <c r="J382" s="5" t="n"/>
      <c r="K382">
        <f>IF($A382="","",$A382&amp;"|"&amp;COUNTIF($A$2:$A382,$A382))</f>
        <v/>
      </c>
      <c r="L382">
        <f>IF($G382="","",$G382&amp;IF($H382="",""," / "&amp;$H382)&amp;IF($I382="",""," / "&amp;$I382))</f>
        <v/>
      </c>
    </row>
    <row r="383">
      <c r="A383" s="18" t="n"/>
      <c r="B383" s="18" t="n"/>
      <c r="C383" s="18" t="n"/>
      <c r="D383" s="30" t="n"/>
      <c r="E383" s="18" t="n"/>
      <c r="F383" s="5" t="n"/>
      <c r="G383" s="18" t="n"/>
      <c r="H383" s="30" t="n"/>
      <c r="I383" s="18" t="n"/>
      <c r="J383" s="5" t="n"/>
      <c r="K383">
        <f>IF($A383="","",$A383&amp;"|"&amp;COUNTIF($A$2:$A383,$A383))</f>
        <v/>
      </c>
      <c r="L383">
        <f>IF($G383="","",$G383&amp;IF($H383="",""," / "&amp;$H383)&amp;IF($I383="",""," / "&amp;$I383))</f>
        <v/>
      </c>
    </row>
    <row r="384">
      <c r="A384" s="18" t="n"/>
      <c r="B384" s="18" t="n"/>
      <c r="C384" s="18" t="n"/>
      <c r="D384" s="30" t="n"/>
      <c r="E384" s="18" t="n"/>
      <c r="F384" s="5" t="n"/>
      <c r="G384" s="18" t="n"/>
      <c r="H384" s="30" t="n"/>
      <c r="I384" s="18" t="n"/>
      <c r="J384" s="5" t="n"/>
      <c r="K384">
        <f>IF($A384="","",$A384&amp;"|"&amp;COUNTIF($A$2:$A384,$A384))</f>
        <v/>
      </c>
      <c r="L384">
        <f>IF($G384="","",$G384&amp;IF($H384="",""," / "&amp;$H384)&amp;IF($I384="",""," / "&amp;$I384))</f>
        <v/>
      </c>
    </row>
    <row r="385">
      <c r="A385" s="18" t="n"/>
      <c r="B385" s="18" t="n"/>
      <c r="C385" s="18" t="n"/>
      <c r="D385" s="30" t="n"/>
      <c r="E385" s="18" t="n"/>
      <c r="F385" s="5" t="n"/>
      <c r="G385" s="18" t="n"/>
      <c r="H385" s="30" t="n"/>
      <c r="I385" s="18" t="n"/>
      <c r="J385" s="5" t="n"/>
      <c r="K385">
        <f>IF($A385="","",$A385&amp;"|"&amp;COUNTIF($A$2:$A385,$A385))</f>
        <v/>
      </c>
      <c r="L385">
        <f>IF($G385="","",$G385&amp;IF($H385="",""," / "&amp;$H385)&amp;IF($I385="",""," / "&amp;$I385))</f>
        <v/>
      </c>
    </row>
    <row r="386">
      <c r="A386" s="18" t="n"/>
      <c r="B386" s="18" t="n"/>
      <c r="C386" s="18" t="n"/>
      <c r="D386" s="30" t="n"/>
      <c r="E386" s="18" t="n"/>
      <c r="F386" s="5" t="n"/>
      <c r="G386" s="18" t="n"/>
      <c r="H386" s="30" t="n"/>
      <c r="I386" s="18" t="n"/>
      <c r="J386" s="5" t="n"/>
      <c r="K386">
        <f>IF($A386="","",$A386&amp;"|"&amp;COUNTIF($A$2:$A386,$A386))</f>
        <v/>
      </c>
      <c r="L386">
        <f>IF($G386="","",$G386&amp;IF($H386="",""," / "&amp;$H386)&amp;IF($I386="",""," / "&amp;$I386))</f>
        <v/>
      </c>
    </row>
    <row r="387">
      <c r="A387" s="18" t="n"/>
      <c r="B387" s="18" t="n"/>
      <c r="C387" s="18" t="n"/>
      <c r="D387" s="30" t="n"/>
      <c r="E387" s="18" t="n"/>
      <c r="F387" s="5" t="n"/>
      <c r="G387" s="18" t="n"/>
      <c r="H387" s="30" t="n"/>
      <c r="I387" s="18" t="n"/>
      <c r="J387" s="5" t="n"/>
      <c r="K387">
        <f>IF($A387="","",$A387&amp;"|"&amp;COUNTIF($A$2:$A387,$A387))</f>
        <v/>
      </c>
      <c r="L387">
        <f>IF($G387="","",$G387&amp;IF($H387="",""," / "&amp;$H387)&amp;IF($I387="",""," / "&amp;$I387))</f>
        <v/>
      </c>
    </row>
    <row r="388">
      <c r="A388" s="18" t="n"/>
      <c r="B388" s="18" t="n"/>
      <c r="C388" s="18" t="n"/>
      <c r="D388" s="30" t="n"/>
      <c r="E388" s="18" t="n"/>
      <c r="F388" s="5" t="n"/>
      <c r="G388" s="18" t="n"/>
      <c r="H388" s="30" t="n"/>
      <c r="I388" s="18" t="n"/>
      <c r="J388" s="5" t="n"/>
      <c r="K388">
        <f>IF($A388="","",$A388&amp;"|"&amp;COUNTIF($A$2:$A388,$A388))</f>
        <v/>
      </c>
      <c r="L388">
        <f>IF($G388="","",$G388&amp;IF($H388="",""," / "&amp;$H388)&amp;IF($I388="",""," / "&amp;$I388))</f>
        <v/>
      </c>
    </row>
    <row r="389">
      <c r="A389" s="18" t="n"/>
      <c r="B389" s="18" t="n"/>
      <c r="C389" s="18" t="n"/>
      <c r="D389" s="30" t="n"/>
      <c r="E389" s="18" t="n"/>
      <c r="F389" s="5" t="n"/>
      <c r="G389" s="18" t="n"/>
      <c r="H389" s="30" t="n"/>
      <c r="I389" s="18" t="n"/>
      <c r="J389" s="5" t="n"/>
      <c r="K389">
        <f>IF($A389="","",$A389&amp;"|"&amp;COUNTIF($A$2:$A389,$A389))</f>
        <v/>
      </c>
      <c r="L389">
        <f>IF($G389="","",$G389&amp;IF($H389="",""," / "&amp;$H389)&amp;IF($I389="",""," / "&amp;$I389))</f>
        <v/>
      </c>
    </row>
    <row r="390">
      <c r="A390" s="18" t="n"/>
      <c r="B390" s="18" t="n"/>
      <c r="C390" s="18" t="n"/>
      <c r="D390" s="30" t="n"/>
      <c r="E390" s="18" t="n"/>
      <c r="F390" s="5" t="n"/>
      <c r="G390" s="18" t="n"/>
      <c r="H390" s="30" t="n"/>
      <c r="I390" s="18" t="n"/>
      <c r="J390" s="5" t="n"/>
      <c r="K390">
        <f>IF($A390="","",$A390&amp;"|"&amp;COUNTIF($A$2:$A390,$A390))</f>
        <v/>
      </c>
      <c r="L390">
        <f>IF($G390="","",$G390&amp;IF($H390="",""," / "&amp;$H390)&amp;IF($I390="",""," / "&amp;$I390))</f>
        <v/>
      </c>
    </row>
    <row r="391">
      <c r="A391" s="18" t="n"/>
      <c r="B391" s="18" t="n"/>
      <c r="C391" s="18" t="n"/>
      <c r="D391" s="30" t="n"/>
      <c r="E391" s="18" t="n"/>
      <c r="F391" s="5" t="n"/>
      <c r="G391" s="18" t="n"/>
      <c r="H391" s="30" t="n"/>
      <c r="I391" s="18" t="n"/>
      <c r="J391" s="5" t="n"/>
      <c r="K391">
        <f>IF($A391="","",$A391&amp;"|"&amp;COUNTIF($A$2:$A391,$A391))</f>
        <v/>
      </c>
      <c r="L391">
        <f>IF($G391="","",$G391&amp;IF($H391="",""," / "&amp;$H391)&amp;IF($I391="",""," / "&amp;$I391))</f>
        <v/>
      </c>
    </row>
    <row r="392">
      <c r="A392" s="18" t="n"/>
      <c r="B392" s="18" t="n"/>
      <c r="C392" s="18" t="n"/>
      <c r="D392" s="30" t="n"/>
      <c r="E392" s="18" t="n"/>
      <c r="F392" s="5" t="n"/>
      <c r="G392" s="18" t="n"/>
      <c r="H392" s="30" t="n"/>
      <c r="I392" s="18" t="n"/>
      <c r="J392" s="5" t="n"/>
      <c r="K392">
        <f>IF($A392="","",$A392&amp;"|"&amp;COUNTIF($A$2:$A392,$A392))</f>
        <v/>
      </c>
      <c r="L392">
        <f>IF($G392="","",$G392&amp;IF($H392="",""," / "&amp;$H392)&amp;IF($I392="",""," / "&amp;$I392))</f>
        <v/>
      </c>
    </row>
    <row r="393">
      <c r="A393" s="18" t="n"/>
      <c r="B393" s="18" t="n"/>
      <c r="C393" s="18" t="n"/>
      <c r="D393" s="30" t="n"/>
      <c r="E393" s="18" t="n"/>
      <c r="F393" s="5" t="n"/>
      <c r="G393" s="18" t="n"/>
      <c r="H393" s="30" t="n"/>
      <c r="I393" s="18" t="n"/>
      <c r="J393" s="5" t="n"/>
      <c r="K393">
        <f>IF($A393="","",$A393&amp;"|"&amp;COUNTIF($A$2:$A393,$A393))</f>
        <v/>
      </c>
      <c r="L393">
        <f>IF($G393="","",$G393&amp;IF($H393="",""," / "&amp;$H393)&amp;IF($I393="",""," / "&amp;$I393))</f>
        <v/>
      </c>
    </row>
    <row r="394">
      <c r="A394" s="18" t="n"/>
      <c r="B394" s="18" t="n"/>
      <c r="C394" s="18" t="n"/>
      <c r="D394" s="30" t="n"/>
      <c r="E394" s="18" t="n"/>
      <c r="F394" s="5" t="n"/>
      <c r="G394" s="18" t="n"/>
      <c r="H394" s="30" t="n"/>
      <c r="I394" s="18" t="n"/>
      <c r="J394" s="5" t="n"/>
      <c r="K394">
        <f>IF($A394="","",$A394&amp;"|"&amp;COUNTIF($A$2:$A394,$A394))</f>
        <v/>
      </c>
      <c r="L394">
        <f>IF($G394="","",$G394&amp;IF($H394="",""," / "&amp;$H394)&amp;IF($I394="",""," / "&amp;$I394))</f>
        <v/>
      </c>
    </row>
    <row r="395">
      <c r="A395" s="18" t="n"/>
      <c r="B395" s="18" t="n"/>
      <c r="C395" s="18" t="n"/>
      <c r="D395" s="30" t="n"/>
      <c r="E395" s="18" t="n"/>
      <c r="F395" s="5" t="n"/>
      <c r="G395" s="18" t="n"/>
      <c r="H395" s="30" t="n"/>
      <c r="I395" s="18" t="n"/>
      <c r="J395" s="5" t="n"/>
      <c r="K395">
        <f>IF($A395="","",$A395&amp;"|"&amp;COUNTIF($A$2:$A395,$A395))</f>
        <v/>
      </c>
      <c r="L395">
        <f>IF($G395="","",$G395&amp;IF($H395="",""," / "&amp;$H395)&amp;IF($I395="",""," / "&amp;$I395))</f>
        <v/>
      </c>
    </row>
    <row r="396">
      <c r="A396" s="18" t="n"/>
      <c r="B396" s="18" t="n"/>
      <c r="C396" s="18" t="n"/>
      <c r="D396" s="30" t="n"/>
      <c r="E396" s="18" t="n"/>
      <c r="F396" s="5" t="n"/>
      <c r="G396" s="18" t="n"/>
      <c r="H396" s="30" t="n"/>
      <c r="I396" s="18" t="n"/>
      <c r="J396" s="5" t="n"/>
      <c r="K396">
        <f>IF($A396="","",$A396&amp;"|"&amp;COUNTIF($A$2:$A396,$A396))</f>
        <v/>
      </c>
      <c r="L396">
        <f>IF($G396="","",$G396&amp;IF($H396="",""," / "&amp;$H396)&amp;IF($I396="",""," / "&amp;$I396))</f>
        <v/>
      </c>
    </row>
    <row r="397">
      <c r="A397" s="18" t="n"/>
      <c r="B397" s="18" t="n"/>
      <c r="C397" s="18" t="n"/>
      <c r="D397" s="30" t="n"/>
      <c r="E397" s="18" t="n"/>
      <c r="F397" s="5" t="n"/>
      <c r="G397" s="18" t="n"/>
      <c r="H397" s="30" t="n"/>
      <c r="I397" s="18" t="n"/>
      <c r="J397" s="5" t="n"/>
      <c r="K397">
        <f>IF($A397="","",$A397&amp;"|"&amp;COUNTIF($A$2:$A397,$A397))</f>
        <v/>
      </c>
      <c r="L397">
        <f>IF($G397="","",$G397&amp;IF($H397="",""," / "&amp;$H397)&amp;IF($I397="",""," / "&amp;$I397))</f>
        <v/>
      </c>
    </row>
    <row r="398">
      <c r="A398" s="18" t="n"/>
      <c r="B398" s="18" t="n"/>
      <c r="C398" s="18" t="n"/>
      <c r="D398" s="30" t="n"/>
      <c r="E398" s="18" t="n"/>
      <c r="F398" s="5" t="n"/>
      <c r="G398" s="18" t="n"/>
      <c r="H398" s="30" t="n"/>
      <c r="I398" s="18" t="n"/>
      <c r="J398" s="5" t="n"/>
      <c r="K398">
        <f>IF($A398="","",$A398&amp;"|"&amp;COUNTIF($A$2:$A398,$A398))</f>
        <v/>
      </c>
      <c r="L398">
        <f>IF($G398="","",$G398&amp;IF($H398="",""," / "&amp;$H398)&amp;IF($I398="",""," / "&amp;$I398))</f>
        <v/>
      </c>
    </row>
    <row r="399">
      <c r="A399" s="18" t="n"/>
      <c r="B399" s="18" t="n"/>
      <c r="C399" s="18" t="n"/>
      <c r="D399" s="30" t="n"/>
      <c r="E399" s="18" t="n"/>
      <c r="F399" s="5" t="n"/>
      <c r="G399" s="18" t="n"/>
      <c r="H399" s="30" t="n"/>
      <c r="I399" s="18" t="n"/>
      <c r="J399" s="5" t="n"/>
      <c r="K399">
        <f>IF($A399="","",$A399&amp;"|"&amp;COUNTIF($A$2:$A399,$A399))</f>
        <v/>
      </c>
      <c r="L399">
        <f>IF($G399="","",$G399&amp;IF($H399="",""," / "&amp;$H399)&amp;IF($I399="",""," / "&amp;$I399))</f>
        <v/>
      </c>
    </row>
    <row r="400">
      <c r="A400" s="18" t="n"/>
      <c r="B400" s="18" t="n"/>
      <c r="C400" s="18" t="n"/>
      <c r="D400" s="30" t="n"/>
      <c r="E400" s="18" t="n"/>
      <c r="F400" s="5" t="n"/>
      <c r="G400" s="18" t="n"/>
      <c r="H400" s="30" t="n"/>
      <c r="I400" s="18" t="n"/>
      <c r="J400" s="5" t="n"/>
      <c r="K400">
        <f>IF($A400="","",$A400&amp;"|"&amp;COUNTIF($A$2:$A400,$A400))</f>
        <v/>
      </c>
      <c r="L400">
        <f>IF($G400="","",$G400&amp;IF($H400="",""," / "&amp;$H400)&amp;IF($I400="",""," / "&amp;$I400))</f>
        <v/>
      </c>
    </row>
    <row r="401">
      <c r="A401" s="18" t="n"/>
      <c r="B401" s="18" t="n"/>
      <c r="C401" s="18" t="n"/>
      <c r="D401" s="30" t="n"/>
      <c r="E401" s="18" t="n"/>
      <c r="F401" s="5" t="n"/>
      <c r="G401" s="18" t="n"/>
      <c r="H401" s="30" t="n"/>
      <c r="I401" s="18" t="n"/>
      <c r="J401" s="5" t="n"/>
      <c r="K401">
        <f>IF($A401="","",$A401&amp;"|"&amp;COUNTIF($A$2:$A401,$A401))</f>
        <v/>
      </c>
      <c r="L401">
        <f>IF($G401="","",$G401&amp;IF($H401="",""," / "&amp;$H401)&amp;IF($I401="",""," / "&amp;$I401))</f>
        <v/>
      </c>
    </row>
    <row r="402">
      <c r="A402" s="18" t="n"/>
      <c r="B402" s="18" t="n"/>
      <c r="C402" s="18" t="n"/>
      <c r="D402" s="30" t="n"/>
      <c r="E402" s="18" t="n"/>
      <c r="F402" s="5" t="n"/>
      <c r="G402" s="18" t="n"/>
      <c r="H402" s="30" t="n"/>
      <c r="I402" s="18" t="n"/>
      <c r="J402" s="5" t="n"/>
      <c r="K402">
        <f>IF($A402="","",$A402&amp;"|"&amp;COUNTIF($A$2:$A402,$A402))</f>
        <v/>
      </c>
      <c r="L402">
        <f>IF($G402="","",$G402&amp;IF($H402="",""," / "&amp;$H402)&amp;IF($I402="",""," / "&amp;$I402))</f>
        <v/>
      </c>
    </row>
    <row r="403">
      <c r="A403" s="18" t="n"/>
      <c r="B403" s="18" t="n"/>
      <c r="C403" s="18" t="n"/>
      <c r="D403" s="30" t="n"/>
      <c r="E403" s="18" t="n"/>
      <c r="F403" s="5" t="n"/>
      <c r="G403" s="18" t="n"/>
      <c r="H403" s="30" t="n"/>
      <c r="I403" s="18" t="n"/>
      <c r="J403" s="5" t="n"/>
      <c r="K403">
        <f>IF($A403="","",$A403&amp;"|"&amp;COUNTIF($A$2:$A403,$A403))</f>
        <v/>
      </c>
      <c r="L403">
        <f>IF($G403="","",$G403&amp;IF($H403="",""," / "&amp;$H403)&amp;IF($I403="",""," / "&amp;$I403))</f>
        <v/>
      </c>
    </row>
    <row r="404">
      <c r="A404" s="18" t="n"/>
      <c r="B404" s="18" t="n"/>
      <c r="C404" s="18" t="n"/>
      <c r="D404" s="30" t="n"/>
      <c r="E404" s="18" t="n"/>
      <c r="F404" s="5" t="n"/>
      <c r="G404" s="18" t="n"/>
      <c r="H404" s="30" t="n"/>
      <c r="I404" s="18" t="n"/>
      <c r="J404" s="5" t="n"/>
      <c r="K404">
        <f>IF($A404="","",$A404&amp;"|"&amp;COUNTIF($A$2:$A404,$A404))</f>
        <v/>
      </c>
      <c r="L404">
        <f>IF($G404="","",$G404&amp;IF($H404="",""," / "&amp;$H404)&amp;IF($I404="",""," / "&amp;$I404))</f>
        <v/>
      </c>
    </row>
    <row r="405">
      <c r="A405" s="18" t="n"/>
      <c r="B405" s="18" t="n"/>
      <c r="C405" s="18" t="n"/>
      <c r="D405" s="30" t="n"/>
      <c r="E405" s="18" t="n"/>
      <c r="F405" s="5" t="n"/>
      <c r="G405" s="18" t="n"/>
      <c r="H405" s="30" t="n"/>
      <c r="I405" s="18" t="n"/>
      <c r="J405" s="5" t="n"/>
      <c r="K405">
        <f>IF($A405="","",$A405&amp;"|"&amp;COUNTIF($A$2:$A405,$A405))</f>
        <v/>
      </c>
      <c r="L405">
        <f>IF($G405="","",$G405&amp;IF($H405="",""," / "&amp;$H405)&amp;IF($I405="",""," / "&amp;$I405))</f>
        <v/>
      </c>
    </row>
    <row r="406">
      <c r="A406" s="18" t="n"/>
      <c r="B406" s="18" t="n"/>
      <c r="C406" s="18" t="n"/>
      <c r="D406" s="30" t="n"/>
      <c r="E406" s="18" t="n"/>
      <c r="F406" s="5" t="n"/>
      <c r="G406" s="18" t="n"/>
      <c r="H406" s="30" t="n"/>
      <c r="I406" s="18" t="n"/>
      <c r="J406" s="5" t="n"/>
      <c r="K406">
        <f>IF($A406="","",$A406&amp;"|"&amp;COUNTIF($A$2:$A406,$A406))</f>
        <v/>
      </c>
      <c r="L406">
        <f>IF($G406="","",$G406&amp;IF($H406="",""," / "&amp;$H406)&amp;IF($I406="",""," / "&amp;$I406))</f>
        <v/>
      </c>
    </row>
    <row r="407">
      <c r="A407" s="18" t="n"/>
      <c r="B407" s="18" t="n"/>
      <c r="C407" s="18" t="n"/>
      <c r="D407" s="30" t="n"/>
      <c r="E407" s="18" t="n"/>
      <c r="F407" s="5" t="n"/>
      <c r="G407" s="18" t="n"/>
      <c r="H407" s="30" t="n"/>
      <c r="I407" s="18" t="n"/>
      <c r="J407" s="5" t="n"/>
      <c r="K407">
        <f>IF($A407="","",$A407&amp;"|"&amp;COUNTIF($A$2:$A407,$A407))</f>
        <v/>
      </c>
      <c r="L407">
        <f>IF($G407="","",$G407&amp;IF($H407="",""," / "&amp;$H407)&amp;IF($I407="",""," / "&amp;$I407))</f>
        <v/>
      </c>
    </row>
    <row r="408">
      <c r="A408" s="18" t="n"/>
      <c r="B408" s="18" t="n"/>
      <c r="C408" s="18" t="n"/>
      <c r="D408" s="30" t="n"/>
      <c r="E408" s="18" t="n"/>
      <c r="F408" s="5" t="n"/>
      <c r="G408" s="18" t="n"/>
      <c r="H408" s="30" t="n"/>
      <c r="I408" s="18" t="n"/>
      <c r="J408" s="5" t="n"/>
      <c r="K408">
        <f>IF($A408="","",$A408&amp;"|"&amp;COUNTIF($A$2:$A408,$A408))</f>
        <v/>
      </c>
      <c r="L408">
        <f>IF($G408="","",$G408&amp;IF($H408="",""," / "&amp;$H408)&amp;IF($I408="",""," / "&amp;$I408))</f>
        <v/>
      </c>
    </row>
    <row r="409">
      <c r="A409" s="18" t="n"/>
      <c r="B409" s="18" t="n"/>
      <c r="C409" s="18" t="n"/>
      <c r="D409" s="30" t="n"/>
      <c r="E409" s="18" t="n"/>
      <c r="F409" s="5" t="n"/>
      <c r="G409" s="18" t="n"/>
      <c r="H409" s="30" t="n"/>
      <c r="I409" s="18" t="n"/>
      <c r="J409" s="5" t="n"/>
      <c r="K409">
        <f>IF($A409="","",$A409&amp;"|"&amp;COUNTIF($A$2:$A409,$A409))</f>
        <v/>
      </c>
      <c r="L409">
        <f>IF($G409="","",$G409&amp;IF($H409="",""," / "&amp;$H409)&amp;IF($I409="",""," / "&amp;$I409))</f>
        <v/>
      </c>
    </row>
    <row r="410">
      <c r="A410" s="18" t="n"/>
      <c r="B410" s="18" t="n"/>
      <c r="C410" s="18" t="n"/>
      <c r="D410" s="30" t="n"/>
      <c r="E410" s="18" t="n"/>
      <c r="F410" s="5" t="n"/>
      <c r="G410" s="18" t="n"/>
      <c r="H410" s="30" t="n"/>
      <c r="I410" s="18" t="n"/>
      <c r="J410" s="5" t="n"/>
      <c r="K410">
        <f>IF($A410="","",$A410&amp;"|"&amp;COUNTIF($A$2:$A410,$A410))</f>
        <v/>
      </c>
      <c r="L410">
        <f>IF($G410="","",$G410&amp;IF($H410="",""," / "&amp;$H410)&amp;IF($I410="",""," / "&amp;$I410))</f>
        <v/>
      </c>
    </row>
    <row r="411">
      <c r="A411" s="18" t="n"/>
      <c r="B411" s="18" t="n"/>
      <c r="C411" s="18" t="n"/>
      <c r="D411" s="30" t="n"/>
      <c r="E411" s="18" t="n"/>
      <c r="F411" s="5" t="n"/>
      <c r="G411" s="18" t="n"/>
      <c r="H411" s="30" t="n"/>
      <c r="I411" s="18" t="n"/>
      <c r="J411" s="5" t="n"/>
      <c r="K411">
        <f>IF($A411="","",$A411&amp;"|"&amp;COUNTIF($A$2:$A411,$A411))</f>
        <v/>
      </c>
      <c r="L411">
        <f>IF($G411="","",$G411&amp;IF($H411="",""," / "&amp;$H411)&amp;IF($I411="",""," / "&amp;$I411))</f>
        <v/>
      </c>
    </row>
    <row r="412">
      <c r="A412" s="18" t="n"/>
      <c r="B412" s="18" t="n"/>
      <c r="C412" s="18" t="n"/>
      <c r="D412" s="30" t="n"/>
      <c r="E412" s="18" t="n"/>
      <c r="F412" s="5" t="n"/>
      <c r="G412" s="18" t="n"/>
      <c r="H412" s="30" t="n"/>
      <c r="I412" s="18" t="n"/>
      <c r="J412" s="5" t="n"/>
      <c r="K412">
        <f>IF($A412="","",$A412&amp;"|"&amp;COUNTIF($A$2:$A412,$A412))</f>
        <v/>
      </c>
      <c r="L412">
        <f>IF($G412="","",$G412&amp;IF($H412="",""," / "&amp;$H412)&amp;IF($I412="",""," / "&amp;$I412))</f>
        <v/>
      </c>
    </row>
    <row r="413">
      <c r="A413" s="18" t="n"/>
      <c r="B413" s="18" t="n"/>
      <c r="C413" s="18" t="n"/>
      <c r="D413" s="30" t="n"/>
      <c r="E413" s="18" t="n"/>
      <c r="F413" s="5" t="n"/>
      <c r="G413" s="18" t="n"/>
      <c r="H413" s="30" t="n"/>
      <c r="I413" s="18" t="n"/>
      <c r="J413" s="5" t="n"/>
      <c r="K413">
        <f>IF($A413="","",$A413&amp;"|"&amp;COUNTIF($A$2:$A413,$A413))</f>
        <v/>
      </c>
      <c r="L413">
        <f>IF($G413="","",$G413&amp;IF($H413="",""," / "&amp;$H413)&amp;IF($I413="",""," / "&amp;$I413))</f>
        <v/>
      </c>
    </row>
    <row r="414">
      <c r="A414" s="18" t="n"/>
      <c r="B414" s="18" t="n"/>
      <c r="C414" s="18" t="n"/>
      <c r="D414" s="30" t="n"/>
      <c r="E414" s="18" t="n"/>
      <c r="F414" s="5" t="n"/>
      <c r="G414" s="18" t="n"/>
      <c r="H414" s="30" t="n"/>
      <c r="I414" s="18" t="n"/>
      <c r="J414" s="5" t="n"/>
      <c r="K414">
        <f>IF($A414="","",$A414&amp;"|"&amp;COUNTIF($A$2:$A414,$A414))</f>
        <v/>
      </c>
      <c r="L414">
        <f>IF($G414="","",$G414&amp;IF($H414="",""," / "&amp;$H414)&amp;IF($I414="",""," / "&amp;$I414))</f>
        <v/>
      </c>
    </row>
    <row r="415">
      <c r="A415" s="18" t="n"/>
      <c r="B415" s="18" t="n"/>
      <c r="C415" s="18" t="n"/>
      <c r="D415" s="30" t="n"/>
      <c r="E415" s="18" t="n"/>
      <c r="F415" s="5" t="n"/>
      <c r="G415" s="18" t="n"/>
      <c r="H415" s="30" t="n"/>
      <c r="I415" s="18" t="n"/>
      <c r="J415" s="5" t="n"/>
      <c r="K415">
        <f>IF($A415="","",$A415&amp;"|"&amp;COUNTIF($A$2:$A415,$A415))</f>
        <v/>
      </c>
      <c r="L415">
        <f>IF($G415="","",$G415&amp;IF($H415="",""," / "&amp;$H415)&amp;IF($I415="",""," / "&amp;$I415))</f>
        <v/>
      </c>
    </row>
    <row r="416">
      <c r="A416" s="18" t="n"/>
      <c r="B416" s="18" t="n"/>
      <c r="C416" s="18" t="n"/>
      <c r="D416" s="30" t="n"/>
      <c r="E416" s="18" t="n"/>
      <c r="F416" s="5" t="n"/>
      <c r="G416" s="18" t="n"/>
      <c r="H416" s="30" t="n"/>
      <c r="I416" s="18" t="n"/>
      <c r="J416" s="5" t="n"/>
      <c r="K416">
        <f>IF($A416="","",$A416&amp;"|"&amp;COUNTIF($A$2:$A416,$A416))</f>
        <v/>
      </c>
      <c r="L416">
        <f>IF($G416="","",$G416&amp;IF($H416="",""," / "&amp;$H416)&amp;IF($I416="",""," / "&amp;$I416))</f>
        <v/>
      </c>
    </row>
    <row r="417">
      <c r="A417" s="18" t="n"/>
      <c r="B417" s="18" t="n"/>
      <c r="C417" s="18" t="n"/>
      <c r="D417" s="30" t="n"/>
      <c r="E417" s="18" t="n"/>
      <c r="F417" s="5" t="n"/>
      <c r="G417" s="18" t="n"/>
      <c r="H417" s="30" t="n"/>
      <c r="I417" s="18" t="n"/>
      <c r="J417" s="5" t="n"/>
      <c r="K417">
        <f>IF($A417="","",$A417&amp;"|"&amp;COUNTIF($A$2:$A417,$A417))</f>
        <v/>
      </c>
      <c r="L417">
        <f>IF($G417="","",$G417&amp;IF($H417="",""," / "&amp;$H417)&amp;IF($I417="",""," / "&amp;$I417))</f>
        <v/>
      </c>
    </row>
    <row r="418">
      <c r="A418" s="18" t="n"/>
      <c r="B418" s="18" t="n"/>
      <c r="C418" s="18" t="n"/>
      <c r="D418" s="30" t="n"/>
      <c r="E418" s="18" t="n"/>
      <c r="F418" s="5" t="n"/>
      <c r="G418" s="18" t="n"/>
      <c r="H418" s="30" t="n"/>
      <c r="I418" s="18" t="n"/>
      <c r="J418" s="5" t="n"/>
      <c r="K418">
        <f>IF($A418="","",$A418&amp;"|"&amp;COUNTIF($A$2:$A418,$A418))</f>
        <v/>
      </c>
      <c r="L418">
        <f>IF($G418="","",$G418&amp;IF($H418="",""," / "&amp;$H418)&amp;IF($I418="",""," / "&amp;$I418))</f>
        <v/>
      </c>
    </row>
    <row r="419">
      <c r="A419" s="18" t="n"/>
      <c r="B419" s="18" t="n"/>
      <c r="C419" s="18" t="n"/>
      <c r="D419" s="30" t="n"/>
      <c r="E419" s="18" t="n"/>
      <c r="F419" s="5" t="n"/>
      <c r="G419" s="18" t="n"/>
      <c r="H419" s="30" t="n"/>
      <c r="I419" s="18" t="n"/>
      <c r="J419" s="5" t="n"/>
      <c r="K419">
        <f>IF($A419="","",$A419&amp;"|"&amp;COUNTIF($A$2:$A419,$A419))</f>
        <v/>
      </c>
      <c r="L419">
        <f>IF($G419="","",$G419&amp;IF($H419="",""," / "&amp;$H419)&amp;IF($I419="",""," / "&amp;$I419))</f>
        <v/>
      </c>
    </row>
    <row r="420">
      <c r="A420" s="18" t="n"/>
      <c r="B420" s="18" t="n"/>
      <c r="C420" s="18" t="n"/>
      <c r="D420" s="30" t="n"/>
      <c r="E420" s="18" t="n"/>
      <c r="F420" s="5" t="n"/>
      <c r="G420" s="18" t="n"/>
      <c r="H420" s="30" t="n"/>
      <c r="I420" s="18" t="n"/>
      <c r="J420" s="5" t="n"/>
      <c r="K420">
        <f>IF($A420="","",$A420&amp;"|"&amp;COUNTIF($A$2:$A420,$A420))</f>
        <v/>
      </c>
      <c r="L420">
        <f>IF($G420="","",$G420&amp;IF($H420="",""," / "&amp;$H420)&amp;IF($I420="",""," / "&amp;$I420))</f>
        <v/>
      </c>
    </row>
    <row r="421">
      <c r="A421" s="18" t="n"/>
      <c r="B421" s="18" t="n"/>
      <c r="C421" s="18" t="n"/>
      <c r="D421" s="30" t="n"/>
      <c r="E421" s="18" t="n"/>
      <c r="F421" s="5" t="n"/>
      <c r="G421" s="18" t="n"/>
      <c r="H421" s="30" t="n"/>
      <c r="I421" s="18" t="n"/>
      <c r="J421" s="5" t="n"/>
      <c r="K421">
        <f>IF($A421="","",$A421&amp;"|"&amp;COUNTIF($A$2:$A421,$A421))</f>
        <v/>
      </c>
      <c r="L421">
        <f>IF($G421="","",$G421&amp;IF($H421="",""," / "&amp;$H421)&amp;IF($I421="",""," / "&amp;$I421))</f>
        <v/>
      </c>
    </row>
    <row r="422">
      <c r="A422" s="18" t="n"/>
      <c r="B422" s="18" t="n"/>
      <c r="C422" s="18" t="n"/>
      <c r="D422" s="30" t="n"/>
      <c r="E422" s="18" t="n"/>
      <c r="F422" s="5" t="n"/>
      <c r="G422" s="18" t="n"/>
      <c r="H422" s="30" t="n"/>
      <c r="I422" s="18" t="n"/>
      <c r="J422" s="5" t="n"/>
      <c r="K422">
        <f>IF($A422="","",$A422&amp;"|"&amp;COUNTIF($A$2:$A422,$A422))</f>
        <v/>
      </c>
      <c r="L422">
        <f>IF($G422="","",$G422&amp;IF($H422="",""," / "&amp;$H422)&amp;IF($I422="",""," / "&amp;$I422))</f>
        <v/>
      </c>
    </row>
    <row r="423">
      <c r="A423" s="18" t="n"/>
      <c r="B423" s="18" t="n"/>
      <c r="C423" s="18" t="n"/>
      <c r="D423" s="30" t="n"/>
      <c r="E423" s="18" t="n"/>
      <c r="F423" s="5" t="n"/>
      <c r="G423" s="18" t="n"/>
      <c r="H423" s="30" t="n"/>
      <c r="I423" s="18" t="n"/>
      <c r="J423" s="5" t="n"/>
      <c r="K423">
        <f>IF($A423="","",$A423&amp;"|"&amp;COUNTIF($A$2:$A423,$A423))</f>
        <v/>
      </c>
      <c r="L423">
        <f>IF($G423="","",$G423&amp;IF($H423="",""," / "&amp;$H423)&amp;IF($I423="",""," / "&amp;$I423))</f>
        <v/>
      </c>
    </row>
    <row r="424">
      <c r="A424" s="18" t="n"/>
      <c r="B424" s="18" t="n"/>
      <c r="C424" s="18" t="n"/>
      <c r="D424" s="30" t="n"/>
      <c r="E424" s="18" t="n"/>
      <c r="F424" s="5" t="n"/>
      <c r="G424" s="18" t="n"/>
      <c r="H424" s="30" t="n"/>
      <c r="I424" s="18" t="n"/>
      <c r="J424" s="5" t="n"/>
      <c r="K424">
        <f>IF($A424="","",$A424&amp;"|"&amp;COUNTIF($A$2:$A424,$A424))</f>
        <v/>
      </c>
      <c r="L424">
        <f>IF($G424="","",$G424&amp;IF($H424="",""," / "&amp;$H424)&amp;IF($I424="",""," / "&amp;$I424))</f>
        <v/>
      </c>
    </row>
    <row r="425">
      <c r="A425" s="18" t="n"/>
      <c r="B425" s="18" t="n"/>
      <c r="C425" s="18" t="n"/>
      <c r="D425" s="30" t="n"/>
      <c r="E425" s="18" t="n"/>
      <c r="F425" s="5" t="n"/>
      <c r="G425" s="18" t="n"/>
      <c r="H425" s="30" t="n"/>
      <c r="I425" s="18" t="n"/>
      <c r="J425" s="5" t="n"/>
      <c r="K425">
        <f>IF($A425="","",$A425&amp;"|"&amp;COUNTIF($A$2:$A425,$A425))</f>
        <v/>
      </c>
      <c r="L425">
        <f>IF($G425="","",$G425&amp;IF($H425="",""," / "&amp;$H425)&amp;IF($I425="",""," / "&amp;$I425))</f>
        <v/>
      </c>
    </row>
    <row r="426">
      <c r="A426" s="18" t="n"/>
      <c r="B426" s="18" t="n"/>
      <c r="C426" s="18" t="n"/>
      <c r="D426" s="30" t="n"/>
      <c r="E426" s="18" t="n"/>
      <c r="F426" s="5" t="n"/>
      <c r="G426" s="18" t="n"/>
      <c r="H426" s="30" t="n"/>
      <c r="I426" s="18" t="n"/>
      <c r="J426" s="5" t="n"/>
      <c r="K426">
        <f>IF($A426="","",$A426&amp;"|"&amp;COUNTIF($A$2:$A426,$A426))</f>
        <v/>
      </c>
      <c r="L426">
        <f>IF($G426="","",$G426&amp;IF($H426="",""," / "&amp;$H426)&amp;IF($I426="",""," / "&amp;$I426))</f>
        <v/>
      </c>
    </row>
    <row r="427">
      <c r="A427" s="18" t="n"/>
      <c r="B427" s="18" t="n"/>
      <c r="C427" s="18" t="n"/>
      <c r="D427" s="30" t="n"/>
      <c r="E427" s="18" t="n"/>
      <c r="F427" s="5" t="n"/>
      <c r="G427" s="18" t="n"/>
      <c r="H427" s="30" t="n"/>
      <c r="I427" s="18" t="n"/>
      <c r="J427" s="5" t="n"/>
      <c r="K427">
        <f>IF($A427="","",$A427&amp;"|"&amp;COUNTIF($A$2:$A427,$A427))</f>
        <v/>
      </c>
      <c r="L427">
        <f>IF($G427="","",$G427&amp;IF($H427="",""," / "&amp;$H427)&amp;IF($I427="",""," / "&amp;$I427))</f>
        <v/>
      </c>
    </row>
    <row r="428">
      <c r="A428" s="18" t="n"/>
      <c r="B428" s="18" t="n"/>
      <c r="C428" s="18" t="n"/>
      <c r="D428" s="30" t="n"/>
      <c r="E428" s="18" t="n"/>
      <c r="F428" s="5" t="n"/>
      <c r="G428" s="18" t="n"/>
      <c r="H428" s="30" t="n"/>
      <c r="I428" s="18" t="n"/>
      <c r="J428" s="5" t="n"/>
      <c r="K428">
        <f>IF($A428="","",$A428&amp;"|"&amp;COUNTIF($A$2:$A428,$A428))</f>
        <v/>
      </c>
      <c r="L428">
        <f>IF($G428="","",$G428&amp;IF($H428="",""," / "&amp;$H428)&amp;IF($I428="",""," / "&amp;$I428))</f>
        <v/>
      </c>
    </row>
    <row r="429">
      <c r="A429" s="18" t="n"/>
      <c r="B429" s="18" t="n"/>
      <c r="C429" s="18" t="n"/>
      <c r="D429" s="30" t="n"/>
      <c r="E429" s="18" t="n"/>
      <c r="F429" s="5" t="n"/>
      <c r="G429" s="18" t="n"/>
      <c r="H429" s="30" t="n"/>
      <c r="I429" s="18" t="n"/>
      <c r="J429" s="5" t="n"/>
      <c r="K429">
        <f>IF($A429="","",$A429&amp;"|"&amp;COUNTIF($A$2:$A429,$A429))</f>
        <v/>
      </c>
      <c r="L429">
        <f>IF($G429="","",$G429&amp;IF($H429="",""," / "&amp;$H429)&amp;IF($I429="",""," / "&amp;$I429))</f>
        <v/>
      </c>
    </row>
    <row r="430">
      <c r="A430" s="18" t="n"/>
      <c r="B430" s="18" t="n"/>
      <c r="C430" s="18" t="n"/>
      <c r="D430" s="30" t="n"/>
      <c r="E430" s="18" t="n"/>
      <c r="F430" s="5" t="n"/>
      <c r="G430" s="18" t="n"/>
      <c r="H430" s="30" t="n"/>
      <c r="I430" s="18" t="n"/>
      <c r="J430" s="5" t="n"/>
      <c r="K430">
        <f>IF($A430="","",$A430&amp;"|"&amp;COUNTIF($A$2:$A430,$A430))</f>
        <v/>
      </c>
      <c r="L430">
        <f>IF($G430="","",$G430&amp;IF($H430="",""," / "&amp;$H430)&amp;IF($I430="",""," / "&amp;$I430))</f>
        <v/>
      </c>
    </row>
    <row r="431">
      <c r="A431" s="18" t="n"/>
      <c r="B431" s="18" t="n"/>
      <c r="C431" s="18" t="n"/>
      <c r="D431" s="30" t="n"/>
      <c r="E431" s="18" t="n"/>
      <c r="F431" s="5" t="n"/>
      <c r="G431" s="18" t="n"/>
      <c r="H431" s="30" t="n"/>
      <c r="I431" s="18" t="n"/>
      <c r="J431" s="5" t="n"/>
      <c r="K431">
        <f>IF($A431="","",$A431&amp;"|"&amp;COUNTIF($A$2:$A431,$A431))</f>
        <v/>
      </c>
      <c r="L431">
        <f>IF($G431="","",$G431&amp;IF($H431="",""," / "&amp;$H431)&amp;IF($I431="",""," / "&amp;$I431))</f>
        <v/>
      </c>
    </row>
    <row r="432">
      <c r="A432" s="18" t="n"/>
      <c r="B432" s="18" t="n"/>
      <c r="C432" s="18" t="n"/>
      <c r="D432" s="30" t="n"/>
      <c r="E432" s="18" t="n"/>
      <c r="F432" s="5" t="n"/>
      <c r="G432" s="18" t="n"/>
      <c r="H432" s="30" t="n"/>
      <c r="I432" s="18" t="n"/>
      <c r="J432" s="5" t="n"/>
      <c r="K432">
        <f>IF($A432="","",$A432&amp;"|"&amp;COUNTIF($A$2:$A432,$A432))</f>
        <v/>
      </c>
      <c r="L432">
        <f>IF($G432="","",$G432&amp;IF($H432="",""," / "&amp;$H432)&amp;IF($I432="",""," / "&amp;$I432))</f>
        <v/>
      </c>
    </row>
    <row r="433">
      <c r="A433" s="18" t="n"/>
      <c r="B433" s="18" t="n"/>
      <c r="C433" s="18" t="n"/>
      <c r="D433" s="30" t="n"/>
      <c r="E433" s="18" t="n"/>
      <c r="F433" s="5" t="n"/>
      <c r="G433" s="18" t="n"/>
      <c r="H433" s="30" t="n"/>
      <c r="I433" s="18" t="n"/>
      <c r="J433" s="5" t="n"/>
      <c r="K433">
        <f>IF($A433="","",$A433&amp;"|"&amp;COUNTIF($A$2:$A433,$A433))</f>
        <v/>
      </c>
      <c r="L433">
        <f>IF($G433="","",$G433&amp;IF($H433="",""," / "&amp;$H433)&amp;IF($I433="",""," / "&amp;$I433))</f>
        <v/>
      </c>
    </row>
    <row r="434">
      <c r="A434" s="18" t="n"/>
      <c r="B434" s="18" t="n"/>
      <c r="C434" s="18" t="n"/>
      <c r="D434" s="30" t="n"/>
      <c r="E434" s="18" t="n"/>
      <c r="F434" s="5" t="n"/>
      <c r="G434" s="18" t="n"/>
      <c r="H434" s="30" t="n"/>
      <c r="I434" s="18" t="n"/>
      <c r="J434" s="5" t="n"/>
      <c r="K434">
        <f>IF($A434="","",$A434&amp;"|"&amp;COUNTIF($A$2:$A434,$A434))</f>
        <v/>
      </c>
      <c r="L434">
        <f>IF($G434="","",$G434&amp;IF($H434="",""," / "&amp;$H434)&amp;IF($I434="",""," / "&amp;$I434))</f>
        <v/>
      </c>
    </row>
    <row r="435">
      <c r="A435" s="18" t="n"/>
      <c r="B435" s="18" t="n"/>
      <c r="C435" s="18" t="n"/>
      <c r="D435" s="30" t="n"/>
      <c r="E435" s="18" t="n"/>
      <c r="F435" s="5" t="n"/>
      <c r="G435" s="18" t="n"/>
      <c r="H435" s="30" t="n"/>
      <c r="I435" s="18" t="n"/>
      <c r="J435" s="5" t="n"/>
      <c r="K435">
        <f>IF($A435="","",$A435&amp;"|"&amp;COUNTIF($A$2:$A435,$A435))</f>
        <v/>
      </c>
      <c r="L435">
        <f>IF($G435="","",$G435&amp;IF($H435="",""," / "&amp;$H435)&amp;IF($I435="",""," / "&amp;$I435))</f>
        <v/>
      </c>
    </row>
    <row r="436">
      <c r="A436" s="18" t="n"/>
      <c r="B436" s="18" t="n"/>
      <c r="C436" s="18" t="n"/>
      <c r="D436" s="30" t="n"/>
      <c r="E436" s="18" t="n"/>
      <c r="F436" s="5" t="n"/>
      <c r="G436" s="18" t="n"/>
      <c r="H436" s="30" t="n"/>
      <c r="I436" s="18" t="n"/>
      <c r="J436" s="5" t="n"/>
      <c r="K436">
        <f>IF($A436="","",$A436&amp;"|"&amp;COUNTIF($A$2:$A436,$A436))</f>
        <v/>
      </c>
      <c r="L436">
        <f>IF($G436="","",$G436&amp;IF($H436="",""," / "&amp;$H436)&amp;IF($I436="",""," / "&amp;$I436))</f>
        <v/>
      </c>
    </row>
    <row r="437">
      <c r="A437" s="18" t="n"/>
      <c r="B437" s="18" t="n"/>
      <c r="C437" s="18" t="n"/>
      <c r="D437" s="30" t="n"/>
      <c r="E437" s="18" t="n"/>
      <c r="F437" s="5" t="n"/>
      <c r="G437" s="18" t="n"/>
      <c r="H437" s="30" t="n"/>
      <c r="I437" s="18" t="n"/>
      <c r="J437" s="5" t="n"/>
      <c r="K437">
        <f>IF($A437="","",$A437&amp;"|"&amp;COUNTIF($A$2:$A437,$A437))</f>
        <v/>
      </c>
      <c r="L437">
        <f>IF($G437="","",$G437&amp;IF($H437="",""," / "&amp;$H437)&amp;IF($I437="",""," / "&amp;$I437))</f>
        <v/>
      </c>
    </row>
    <row r="438">
      <c r="A438" s="18" t="n"/>
      <c r="B438" s="18" t="n"/>
      <c r="C438" s="18" t="n"/>
      <c r="D438" s="30" t="n"/>
      <c r="E438" s="18" t="n"/>
      <c r="F438" s="5" t="n"/>
      <c r="G438" s="18" t="n"/>
      <c r="H438" s="30" t="n"/>
      <c r="I438" s="18" t="n"/>
      <c r="J438" s="5" t="n"/>
      <c r="K438">
        <f>IF($A438="","",$A438&amp;"|"&amp;COUNTIF($A$2:$A438,$A438))</f>
        <v/>
      </c>
      <c r="L438">
        <f>IF($G438="","",$G438&amp;IF($H438="",""," / "&amp;$H438)&amp;IF($I438="",""," / "&amp;$I438))</f>
        <v/>
      </c>
    </row>
    <row r="439">
      <c r="A439" s="18" t="n"/>
      <c r="B439" s="18" t="n"/>
      <c r="C439" s="18" t="n"/>
      <c r="D439" s="30" t="n"/>
      <c r="E439" s="18" t="n"/>
      <c r="F439" s="5" t="n"/>
      <c r="G439" s="18" t="n"/>
      <c r="H439" s="30" t="n"/>
      <c r="I439" s="18" t="n"/>
      <c r="J439" s="5" t="n"/>
      <c r="K439">
        <f>IF($A439="","",$A439&amp;"|"&amp;COUNTIF($A$2:$A439,$A439))</f>
        <v/>
      </c>
      <c r="L439">
        <f>IF($G439="","",$G439&amp;IF($H439="",""," / "&amp;$H439)&amp;IF($I439="",""," / "&amp;$I439))</f>
        <v/>
      </c>
    </row>
    <row r="440">
      <c r="A440" s="18" t="n"/>
      <c r="B440" s="18" t="n"/>
      <c r="C440" s="18" t="n"/>
      <c r="D440" s="30" t="n"/>
      <c r="E440" s="18" t="n"/>
      <c r="F440" s="5" t="n"/>
      <c r="G440" s="18" t="n"/>
      <c r="H440" s="30" t="n"/>
      <c r="I440" s="18" t="n"/>
      <c r="J440" s="5" t="n"/>
      <c r="K440">
        <f>IF($A440="","",$A440&amp;"|"&amp;COUNTIF($A$2:$A440,$A440))</f>
        <v/>
      </c>
      <c r="L440">
        <f>IF($G440="","",$G440&amp;IF($H440="",""," / "&amp;$H440)&amp;IF($I440="",""," / "&amp;$I440))</f>
        <v/>
      </c>
    </row>
    <row r="441">
      <c r="A441" s="18" t="n"/>
      <c r="B441" s="18" t="n"/>
      <c r="C441" s="18" t="n"/>
      <c r="D441" s="30" t="n"/>
      <c r="E441" s="18" t="n"/>
      <c r="F441" s="5" t="n"/>
      <c r="G441" s="18" t="n"/>
      <c r="H441" s="30" t="n"/>
      <c r="I441" s="18" t="n"/>
      <c r="J441" s="5" t="n"/>
      <c r="K441">
        <f>IF($A441="","",$A441&amp;"|"&amp;COUNTIF($A$2:$A441,$A441))</f>
        <v/>
      </c>
      <c r="L441">
        <f>IF($G441="","",$G441&amp;IF($H441="",""," / "&amp;$H441)&amp;IF($I441="",""," / "&amp;$I441))</f>
        <v/>
      </c>
    </row>
    <row r="442">
      <c r="A442" s="18" t="n"/>
      <c r="B442" s="18" t="n"/>
      <c r="C442" s="18" t="n"/>
      <c r="D442" s="30" t="n"/>
      <c r="E442" s="18" t="n"/>
      <c r="F442" s="5" t="n"/>
      <c r="G442" s="18" t="n"/>
      <c r="H442" s="30" t="n"/>
      <c r="I442" s="18" t="n"/>
      <c r="J442" s="5" t="n"/>
      <c r="K442">
        <f>IF($A442="","",$A442&amp;"|"&amp;COUNTIF($A$2:$A442,$A442))</f>
        <v/>
      </c>
      <c r="L442">
        <f>IF($G442="","",$G442&amp;IF($H442="",""," / "&amp;$H442)&amp;IF($I442="",""," / "&amp;$I442))</f>
        <v/>
      </c>
    </row>
    <row r="443">
      <c r="A443" s="18" t="n"/>
      <c r="B443" s="18" t="n"/>
      <c r="C443" s="18" t="n"/>
      <c r="D443" s="30" t="n"/>
      <c r="E443" s="18" t="n"/>
      <c r="F443" s="5" t="n"/>
      <c r="G443" s="18" t="n"/>
      <c r="H443" s="30" t="n"/>
      <c r="I443" s="18" t="n"/>
      <c r="J443" s="5" t="n"/>
      <c r="K443">
        <f>IF($A443="","",$A443&amp;"|"&amp;COUNTIF($A$2:$A443,$A443))</f>
        <v/>
      </c>
      <c r="L443">
        <f>IF($G443="","",$G443&amp;IF($H443="",""," / "&amp;$H443)&amp;IF($I443="",""," / "&amp;$I443))</f>
        <v/>
      </c>
    </row>
    <row r="444">
      <c r="A444" s="18" t="n"/>
      <c r="B444" s="18" t="n"/>
      <c r="C444" s="18" t="n"/>
      <c r="D444" s="30" t="n"/>
      <c r="E444" s="18" t="n"/>
      <c r="F444" s="5" t="n"/>
      <c r="G444" s="18" t="n"/>
      <c r="H444" s="30" t="n"/>
      <c r="I444" s="18" t="n"/>
      <c r="J444" s="5" t="n"/>
      <c r="K444">
        <f>IF($A444="","",$A444&amp;"|"&amp;COUNTIF($A$2:$A444,$A444))</f>
        <v/>
      </c>
      <c r="L444">
        <f>IF($G444="","",$G444&amp;IF($H444="",""," / "&amp;$H444)&amp;IF($I444="",""," / "&amp;$I444))</f>
        <v/>
      </c>
    </row>
    <row r="445">
      <c r="A445" s="18" t="n"/>
      <c r="B445" s="18" t="n"/>
      <c r="C445" s="18" t="n"/>
      <c r="D445" s="30" t="n"/>
      <c r="E445" s="18" t="n"/>
      <c r="F445" s="5" t="n"/>
      <c r="G445" s="18" t="n"/>
      <c r="H445" s="30" t="n"/>
      <c r="I445" s="18" t="n"/>
      <c r="J445" s="5" t="n"/>
      <c r="K445">
        <f>IF($A445="","",$A445&amp;"|"&amp;COUNTIF($A$2:$A445,$A445))</f>
        <v/>
      </c>
      <c r="L445">
        <f>IF($G445="","",$G445&amp;IF($H445="",""," / "&amp;$H445)&amp;IF($I445="",""," / "&amp;$I445))</f>
        <v/>
      </c>
    </row>
    <row r="446">
      <c r="A446" s="18" t="n"/>
      <c r="B446" s="18" t="n"/>
      <c r="C446" s="18" t="n"/>
      <c r="D446" s="30" t="n"/>
      <c r="E446" s="18" t="n"/>
      <c r="F446" s="5" t="n"/>
      <c r="G446" s="18" t="n"/>
      <c r="H446" s="30" t="n"/>
      <c r="I446" s="18" t="n"/>
      <c r="J446" s="5" t="n"/>
      <c r="K446">
        <f>IF($A446="","",$A446&amp;"|"&amp;COUNTIF($A$2:$A446,$A446))</f>
        <v/>
      </c>
      <c r="L446">
        <f>IF($G446="","",$G446&amp;IF($H446="",""," / "&amp;$H446)&amp;IF($I446="",""," / "&amp;$I446))</f>
        <v/>
      </c>
    </row>
    <row r="447">
      <c r="A447" s="18" t="n"/>
      <c r="B447" s="18" t="n"/>
      <c r="C447" s="18" t="n"/>
      <c r="D447" s="30" t="n"/>
      <c r="E447" s="18" t="n"/>
      <c r="F447" s="5" t="n"/>
      <c r="G447" s="18" t="n"/>
      <c r="H447" s="30" t="n"/>
      <c r="I447" s="18" t="n"/>
      <c r="J447" s="5" t="n"/>
      <c r="K447">
        <f>IF($A447="","",$A447&amp;"|"&amp;COUNTIF($A$2:$A447,$A447))</f>
        <v/>
      </c>
      <c r="L447">
        <f>IF($G447="","",$G447&amp;IF($H447="",""," / "&amp;$H447)&amp;IF($I447="",""," / "&amp;$I447))</f>
        <v/>
      </c>
    </row>
    <row r="448">
      <c r="A448" s="18" t="n"/>
      <c r="B448" s="18" t="n"/>
      <c r="C448" s="18" t="n"/>
      <c r="D448" s="30" t="n"/>
      <c r="E448" s="18" t="n"/>
      <c r="F448" s="5" t="n"/>
      <c r="G448" s="18" t="n"/>
      <c r="H448" s="30" t="n"/>
      <c r="I448" s="18" t="n"/>
      <c r="J448" s="5" t="n"/>
      <c r="K448">
        <f>IF($A448="","",$A448&amp;"|"&amp;COUNTIF($A$2:$A448,$A448))</f>
        <v/>
      </c>
      <c r="L448">
        <f>IF($G448="","",$G448&amp;IF($H448="",""," / "&amp;$H448)&amp;IF($I448="",""," / "&amp;$I448))</f>
        <v/>
      </c>
    </row>
    <row r="449">
      <c r="A449" s="18" t="n"/>
      <c r="B449" s="18" t="n"/>
      <c r="C449" s="18" t="n"/>
      <c r="D449" s="30" t="n"/>
      <c r="E449" s="18" t="n"/>
      <c r="F449" s="5" t="n"/>
      <c r="G449" s="18" t="n"/>
      <c r="H449" s="30" t="n"/>
      <c r="I449" s="18" t="n"/>
      <c r="J449" s="5" t="n"/>
      <c r="K449">
        <f>IF($A449="","",$A449&amp;"|"&amp;COUNTIF($A$2:$A449,$A449))</f>
        <v/>
      </c>
      <c r="L449">
        <f>IF($G449="","",$G449&amp;IF($H449="",""," / "&amp;$H449)&amp;IF($I449="",""," / "&amp;$I449))</f>
        <v/>
      </c>
    </row>
    <row r="450">
      <c r="A450" s="18" t="n"/>
      <c r="B450" s="18" t="n"/>
      <c r="C450" s="18" t="n"/>
      <c r="D450" s="30" t="n"/>
      <c r="E450" s="18" t="n"/>
      <c r="F450" s="5" t="n"/>
      <c r="G450" s="18" t="n"/>
      <c r="H450" s="30" t="n"/>
      <c r="I450" s="18" t="n"/>
      <c r="J450" s="5" t="n"/>
      <c r="K450">
        <f>IF($A450="","",$A450&amp;"|"&amp;COUNTIF($A$2:$A450,$A450))</f>
        <v/>
      </c>
      <c r="L450">
        <f>IF($G450="","",$G450&amp;IF($H450="",""," / "&amp;$H450)&amp;IF($I450="",""," / "&amp;$I450))</f>
        <v/>
      </c>
    </row>
    <row r="451">
      <c r="A451" s="18" t="n"/>
      <c r="B451" s="18" t="n"/>
      <c r="C451" s="18" t="n"/>
      <c r="D451" s="30" t="n"/>
      <c r="E451" s="18" t="n"/>
      <c r="F451" s="5" t="n"/>
      <c r="G451" s="18" t="n"/>
      <c r="H451" s="30" t="n"/>
      <c r="I451" s="18" t="n"/>
      <c r="J451" s="5" t="n"/>
      <c r="K451">
        <f>IF($A451="","",$A451&amp;"|"&amp;COUNTIF($A$2:$A451,$A451))</f>
        <v/>
      </c>
      <c r="L451">
        <f>IF($G451="","",$G451&amp;IF($H451="",""," / "&amp;$H451)&amp;IF($I451="",""," / "&amp;$I451))</f>
        <v/>
      </c>
    </row>
    <row r="452">
      <c r="A452" s="18" t="n"/>
      <c r="B452" s="18" t="n"/>
      <c r="C452" s="18" t="n"/>
      <c r="D452" s="30" t="n"/>
      <c r="E452" s="18" t="n"/>
      <c r="F452" s="5" t="n"/>
      <c r="G452" s="18" t="n"/>
      <c r="H452" s="30" t="n"/>
      <c r="I452" s="18" t="n"/>
      <c r="J452" s="5" t="n"/>
      <c r="K452">
        <f>IF($A452="","",$A452&amp;"|"&amp;COUNTIF($A$2:$A452,$A452))</f>
        <v/>
      </c>
      <c r="L452">
        <f>IF($G452="","",$G452&amp;IF($H452="",""," / "&amp;$H452)&amp;IF($I452="",""," / "&amp;$I452))</f>
        <v/>
      </c>
    </row>
    <row r="453">
      <c r="A453" s="18" t="n"/>
      <c r="B453" s="18" t="n"/>
      <c r="C453" s="18" t="n"/>
      <c r="D453" s="30" t="n"/>
      <c r="E453" s="18" t="n"/>
      <c r="F453" s="5" t="n"/>
      <c r="G453" s="18" t="n"/>
      <c r="H453" s="30" t="n"/>
      <c r="I453" s="18" t="n"/>
      <c r="J453" s="5" t="n"/>
      <c r="K453">
        <f>IF($A453="","",$A453&amp;"|"&amp;COUNTIF($A$2:$A453,$A453))</f>
        <v/>
      </c>
      <c r="L453">
        <f>IF($G453="","",$G453&amp;IF($H453="",""," / "&amp;$H453)&amp;IF($I453="",""," / "&amp;$I453))</f>
        <v/>
      </c>
    </row>
    <row r="454">
      <c r="A454" s="18" t="n"/>
      <c r="B454" s="18" t="n"/>
      <c r="C454" s="18" t="n"/>
      <c r="D454" s="30" t="n"/>
      <c r="E454" s="18" t="n"/>
      <c r="F454" s="5" t="n"/>
      <c r="G454" s="18" t="n"/>
      <c r="H454" s="30" t="n"/>
      <c r="I454" s="18" t="n"/>
      <c r="J454" s="5" t="n"/>
      <c r="K454">
        <f>IF($A454="","",$A454&amp;"|"&amp;COUNTIF($A$2:$A454,$A454))</f>
        <v/>
      </c>
      <c r="L454">
        <f>IF($G454="","",$G454&amp;IF($H454="",""," / "&amp;$H454)&amp;IF($I454="",""," / "&amp;$I454))</f>
        <v/>
      </c>
    </row>
    <row r="455">
      <c r="A455" s="18" t="n"/>
      <c r="B455" s="18" t="n"/>
      <c r="C455" s="18" t="n"/>
      <c r="D455" s="30" t="n"/>
      <c r="E455" s="18" t="n"/>
      <c r="F455" s="5" t="n"/>
      <c r="G455" s="18" t="n"/>
      <c r="H455" s="30" t="n"/>
      <c r="I455" s="18" t="n"/>
      <c r="J455" s="5" t="n"/>
      <c r="K455">
        <f>IF($A455="","",$A455&amp;"|"&amp;COUNTIF($A$2:$A455,$A455))</f>
        <v/>
      </c>
      <c r="L455">
        <f>IF($G455="","",$G455&amp;IF($H455="",""," / "&amp;$H455)&amp;IF($I455="",""," / "&amp;$I455))</f>
        <v/>
      </c>
    </row>
    <row r="456">
      <c r="A456" s="18" t="n"/>
      <c r="B456" s="18" t="n"/>
      <c r="C456" s="18" t="n"/>
      <c r="D456" s="30" t="n"/>
      <c r="E456" s="18" t="n"/>
      <c r="F456" s="5" t="n"/>
      <c r="G456" s="18" t="n"/>
      <c r="H456" s="30" t="n"/>
      <c r="I456" s="18" t="n"/>
      <c r="J456" s="5" t="n"/>
      <c r="K456">
        <f>IF($A456="","",$A456&amp;"|"&amp;COUNTIF($A$2:$A456,$A456))</f>
        <v/>
      </c>
      <c r="L456">
        <f>IF($G456="","",$G456&amp;IF($H456="",""," / "&amp;$H456)&amp;IF($I456="",""," / "&amp;$I456))</f>
        <v/>
      </c>
    </row>
    <row r="457">
      <c r="A457" s="18" t="n"/>
      <c r="B457" s="18" t="n"/>
      <c r="C457" s="18" t="n"/>
      <c r="D457" s="30" t="n"/>
      <c r="E457" s="18" t="n"/>
      <c r="F457" s="5" t="n"/>
      <c r="G457" s="18" t="n"/>
      <c r="H457" s="30" t="n"/>
      <c r="I457" s="18" t="n"/>
      <c r="J457" s="5" t="n"/>
      <c r="K457">
        <f>IF($A457="","",$A457&amp;"|"&amp;COUNTIF($A$2:$A457,$A457))</f>
        <v/>
      </c>
      <c r="L457">
        <f>IF($G457="","",$G457&amp;IF($H457="",""," / "&amp;$H457)&amp;IF($I457="",""," / "&amp;$I457))</f>
        <v/>
      </c>
    </row>
    <row r="458">
      <c r="A458" s="18" t="n"/>
      <c r="B458" s="18" t="n"/>
      <c r="C458" s="18" t="n"/>
      <c r="D458" s="30" t="n"/>
      <c r="E458" s="18" t="n"/>
      <c r="F458" s="5" t="n"/>
      <c r="G458" s="18" t="n"/>
      <c r="H458" s="30" t="n"/>
      <c r="I458" s="18" t="n"/>
      <c r="J458" s="5" t="n"/>
      <c r="K458">
        <f>IF($A458="","",$A458&amp;"|"&amp;COUNTIF($A$2:$A458,$A458))</f>
        <v/>
      </c>
      <c r="L458">
        <f>IF($G458="","",$G458&amp;IF($H458="",""," / "&amp;$H458)&amp;IF($I458="",""," / "&amp;$I458))</f>
        <v/>
      </c>
    </row>
    <row r="459">
      <c r="A459" s="18" t="n"/>
      <c r="B459" s="18" t="n"/>
      <c r="C459" s="18" t="n"/>
      <c r="D459" s="30" t="n"/>
      <c r="E459" s="18" t="n"/>
      <c r="F459" s="5" t="n"/>
      <c r="G459" s="18" t="n"/>
      <c r="H459" s="30" t="n"/>
      <c r="I459" s="18" t="n"/>
      <c r="J459" s="5" t="n"/>
      <c r="K459">
        <f>IF($A459="","",$A459&amp;"|"&amp;COUNTIF($A$2:$A459,$A459))</f>
        <v/>
      </c>
      <c r="L459">
        <f>IF($G459="","",$G459&amp;IF($H459="",""," / "&amp;$H459)&amp;IF($I459="",""," / "&amp;$I459))</f>
        <v/>
      </c>
    </row>
    <row r="460">
      <c r="A460" s="18" t="n"/>
      <c r="B460" s="18" t="n"/>
      <c r="C460" s="18" t="n"/>
      <c r="D460" s="30" t="n"/>
      <c r="E460" s="18" t="n"/>
      <c r="F460" s="5" t="n"/>
      <c r="G460" s="18" t="n"/>
      <c r="H460" s="30" t="n"/>
      <c r="I460" s="18" t="n"/>
      <c r="J460" s="5" t="n"/>
      <c r="K460">
        <f>IF($A460="","",$A460&amp;"|"&amp;COUNTIF($A$2:$A460,$A460))</f>
        <v/>
      </c>
      <c r="L460">
        <f>IF($G460="","",$G460&amp;IF($H460="",""," / "&amp;$H460)&amp;IF($I460="",""," / "&amp;$I460))</f>
        <v/>
      </c>
    </row>
    <row r="461">
      <c r="A461" s="18" t="n"/>
      <c r="B461" s="18" t="n"/>
      <c r="C461" s="18" t="n"/>
      <c r="D461" s="30" t="n"/>
      <c r="E461" s="18" t="n"/>
      <c r="F461" s="5" t="n"/>
      <c r="G461" s="18" t="n"/>
      <c r="H461" s="30" t="n"/>
      <c r="I461" s="18" t="n"/>
      <c r="J461" s="5" t="n"/>
      <c r="K461">
        <f>IF($A461="","",$A461&amp;"|"&amp;COUNTIF($A$2:$A461,$A461))</f>
        <v/>
      </c>
      <c r="L461">
        <f>IF($G461="","",$G461&amp;IF($H461="",""," / "&amp;$H461)&amp;IF($I461="",""," / "&amp;$I461))</f>
        <v/>
      </c>
    </row>
    <row r="462">
      <c r="A462" s="18" t="n"/>
      <c r="B462" s="18" t="n"/>
      <c r="C462" s="18" t="n"/>
      <c r="D462" s="30" t="n"/>
      <c r="E462" s="18" t="n"/>
      <c r="F462" s="5" t="n"/>
      <c r="G462" s="18" t="n"/>
      <c r="H462" s="30" t="n"/>
      <c r="I462" s="18" t="n"/>
      <c r="J462" s="5" t="n"/>
      <c r="K462">
        <f>IF($A462="","",$A462&amp;"|"&amp;COUNTIF($A$2:$A462,$A462))</f>
        <v/>
      </c>
      <c r="L462">
        <f>IF($G462="","",$G462&amp;IF($H462="",""," / "&amp;$H462)&amp;IF($I462="",""," / "&amp;$I462))</f>
        <v/>
      </c>
    </row>
    <row r="463">
      <c r="A463" s="18" t="n"/>
      <c r="B463" s="18" t="n"/>
      <c r="C463" s="18" t="n"/>
      <c r="D463" s="30" t="n"/>
      <c r="E463" s="18" t="n"/>
      <c r="F463" s="5" t="n"/>
      <c r="G463" s="18" t="n"/>
      <c r="H463" s="30" t="n"/>
      <c r="I463" s="18" t="n"/>
      <c r="J463" s="5" t="n"/>
      <c r="K463">
        <f>IF($A463="","",$A463&amp;"|"&amp;COUNTIF($A$2:$A463,$A463))</f>
        <v/>
      </c>
      <c r="L463">
        <f>IF($G463="","",$G463&amp;IF($H463="",""," / "&amp;$H463)&amp;IF($I463="",""," / "&amp;$I463))</f>
        <v/>
      </c>
    </row>
    <row r="464">
      <c r="A464" s="18" t="n"/>
      <c r="B464" s="18" t="n"/>
      <c r="C464" s="18" t="n"/>
      <c r="D464" s="30" t="n"/>
      <c r="E464" s="18" t="n"/>
      <c r="F464" s="5" t="n"/>
      <c r="G464" s="18" t="n"/>
      <c r="H464" s="30" t="n"/>
      <c r="I464" s="18" t="n"/>
      <c r="J464" s="5" t="n"/>
      <c r="K464">
        <f>IF($A464="","",$A464&amp;"|"&amp;COUNTIF($A$2:$A464,$A464))</f>
        <v/>
      </c>
      <c r="L464">
        <f>IF($G464="","",$G464&amp;IF($H464="",""," / "&amp;$H464)&amp;IF($I464="",""," / "&amp;$I464))</f>
        <v/>
      </c>
    </row>
    <row r="465">
      <c r="A465" s="18" t="n"/>
      <c r="B465" s="18" t="n"/>
      <c r="C465" s="18" t="n"/>
      <c r="D465" s="30" t="n"/>
      <c r="E465" s="18" t="n"/>
      <c r="F465" s="5" t="n"/>
      <c r="G465" s="18" t="n"/>
      <c r="H465" s="30" t="n"/>
      <c r="I465" s="18" t="n"/>
      <c r="J465" s="5" t="n"/>
      <c r="K465">
        <f>IF($A465="","",$A465&amp;"|"&amp;COUNTIF($A$2:$A465,$A465))</f>
        <v/>
      </c>
      <c r="L465">
        <f>IF($G465="","",$G465&amp;IF($H465="",""," / "&amp;$H465)&amp;IF($I465="",""," / "&amp;$I465))</f>
        <v/>
      </c>
    </row>
    <row r="466">
      <c r="A466" s="18" t="n"/>
      <c r="B466" s="18" t="n"/>
      <c r="C466" s="18" t="n"/>
      <c r="D466" s="30" t="n"/>
      <c r="E466" s="18" t="n"/>
      <c r="F466" s="5" t="n"/>
      <c r="G466" s="18" t="n"/>
      <c r="H466" s="30" t="n"/>
      <c r="I466" s="18" t="n"/>
      <c r="J466" s="5" t="n"/>
      <c r="K466">
        <f>IF($A466="","",$A466&amp;"|"&amp;COUNTIF($A$2:$A466,$A466))</f>
        <v/>
      </c>
      <c r="L466">
        <f>IF($G466="","",$G466&amp;IF($H466="",""," / "&amp;$H466)&amp;IF($I466="",""," / "&amp;$I466))</f>
        <v/>
      </c>
    </row>
    <row r="467">
      <c r="A467" s="18" t="n"/>
      <c r="B467" s="18" t="n"/>
      <c r="C467" s="18" t="n"/>
      <c r="D467" s="30" t="n"/>
      <c r="E467" s="18" t="n"/>
      <c r="F467" s="5" t="n"/>
      <c r="G467" s="18" t="n"/>
      <c r="H467" s="30" t="n"/>
      <c r="I467" s="18" t="n"/>
      <c r="J467" s="5" t="n"/>
      <c r="K467">
        <f>IF($A467="","",$A467&amp;"|"&amp;COUNTIF($A$2:$A467,$A467))</f>
        <v/>
      </c>
      <c r="L467">
        <f>IF($G467="","",$G467&amp;IF($H467="",""," / "&amp;$H467)&amp;IF($I467="",""," / "&amp;$I467))</f>
        <v/>
      </c>
    </row>
    <row r="468">
      <c r="A468" s="18" t="n"/>
      <c r="B468" s="18" t="n"/>
      <c r="C468" s="18" t="n"/>
      <c r="D468" s="30" t="n"/>
      <c r="E468" s="18" t="n"/>
      <c r="F468" s="5" t="n"/>
      <c r="G468" s="18" t="n"/>
      <c r="H468" s="30" t="n"/>
      <c r="I468" s="18" t="n"/>
      <c r="J468" s="5" t="n"/>
      <c r="K468">
        <f>IF($A468="","",$A468&amp;"|"&amp;COUNTIF($A$2:$A468,$A468))</f>
        <v/>
      </c>
      <c r="L468">
        <f>IF($G468="","",$G468&amp;IF($H468="",""," / "&amp;$H468)&amp;IF($I468="",""," / "&amp;$I468))</f>
        <v/>
      </c>
    </row>
    <row r="469">
      <c r="A469" s="18" t="n"/>
      <c r="B469" s="18" t="n"/>
      <c r="C469" s="18" t="n"/>
      <c r="D469" s="30" t="n"/>
      <c r="E469" s="18" t="n"/>
      <c r="F469" s="5" t="n"/>
      <c r="G469" s="18" t="n"/>
      <c r="H469" s="30" t="n"/>
      <c r="I469" s="18" t="n"/>
      <c r="J469" s="5" t="n"/>
      <c r="K469">
        <f>IF($A469="","",$A469&amp;"|"&amp;COUNTIF($A$2:$A469,$A469))</f>
        <v/>
      </c>
      <c r="L469">
        <f>IF($G469="","",$G469&amp;IF($H469="",""," / "&amp;$H469)&amp;IF($I469="",""," / "&amp;$I469))</f>
        <v/>
      </c>
    </row>
    <row r="470">
      <c r="A470" s="18" t="n"/>
      <c r="B470" s="18" t="n"/>
      <c r="C470" s="18" t="n"/>
      <c r="D470" s="30" t="n"/>
      <c r="E470" s="18" t="n"/>
      <c r="F470" s="5" t="n"/>
      <c r="G470" s="18" t="n"/>
      <c r="H470" s="30" t="n"/>
      <c r="I470" s="18" t="n"/>
      <c r="J470" s="5" t="n"/>
      <c r="K470">
        <f>IF($A470="","",$A470&amp;"|"&amp;COUNTIF($A$2:$A470,$A470))</f>
        <v/>
      </c>
      <c r="L470">
        <f>IF($G470="","",$G470&amp;IF($H470="",""," / "&amp;$H470)&amp;IF($I470="",""," / "&amp;$I470))</f>
        <v/>
      </c>
    </row>
    <row r="471">
      <c r="A471" s="18" t="n"/>
      <c r="B471" s="18" t="n"/>
      <c r="C471" s="18" t="n"/>
      <c r="D471" s="30" t="n"/>
      <c r="E471" s="18" t="n"/>
      <c r="F471" s="5" t="n"/>
      <c r="G471" s="18" t="n"/>
      <c r="H471" s="30" t="n"/>
      <c r="I471" s="18" t="n"/>
      <c r="J471" s="5" t="n"/>
      <c r="K471">
        <f>IF($A471="","",$A471&amp;"|"&amp;COUNTIF($A$2:$A471,$A471))</f>
        <v/>
      </c>
      <c r="L471">
        <f>IF($G471="","",$G471&amp;IF($H471="",""," / "&amp;$H471)&amp;IF($I471="",""," / "&amp;$I471))</f>
        <v/>
      </c>
    </row>
    <row r="472">
      <c r="A472" s="18" t="n"/>
      <c r="B472" s="18" t="n"/>
      <c r="C472" s="18" t="n"/>
      <c r="D472" s="30" t="n"/>
      <c r="E472" s="18" t="n"/>
      <c r="F472" s="5" t="n"/>
      <c r="G472" s="18" t="n"/>
      <c r="H472" s="30" t="n"/>
      <c r="I472" s="18" t="n"/>
      <c r="J472" s="5" t="n"/>
      <c r="K472">
        <f>IF($A472="","",$A472&amp;"|"&amp;COUNTIF($A$2:$A472,$A472))</f>
        <v/>
      </c>
      <c r="L472">
        <f>IF($G472="","",$G472&amp;IF($H472="",""," / "&amp;$H472)&amp;IF($I472="",""," / "&amp;$I472))</f>
        <v/>
      </c>
    </row>
    <row r="473">
      <c r="A473" s="18" t="n"/>
      <c r="B473" s="18" t="n"/>
      <c r="C473" s="18" t="n"/>
      <c r="D473" s="30" t="n"/>
      <c r="E473" s="18" t="n"/>
      <c r="F473" s="5" t="n"/>
      <c r="G473" s="18" t="n"/>
      <c r="H473" s="30" t="n"/>
      <c r="I473" s="18" t="n"/>
      <c r="J473" s="5" t="n"/>
      <c r="K473">
        <f>IF($A473="","",$A473&amp;"|"&amp;COUNTIF($A$2:$A473,$A473))</f>
        <v/>
      </c>
      <c r="L473">
        <f>IF($G473="","",$G473&amp;IF($H473="",""," / "&amp;$H473)&amp;IF($I473="",""," / "&amp;$I473))</f>
        <v/>
      </c>
    </row>
    <row r="474">
      <c r="A474" s="18" t="n"/>
      <c r="B474" s="18" t="n"/>
      <c r="C474" s="18" t="n"/>
      <c r="D474" s="30" t="n"/>
      <c r="E474" s="18" t="n"/>
      <c r="F474" s="5" t="n"/>
      <c r="G474" s="18" t="n"/>
      <c r="H474" s="30" t="n"/>
      <c r="I474" s="18" t="n"/>
      <c r="J474" s="5" t="n"/>
      <c r="K474">
        <f>IF($A474="","",$A474&amp;"|"&amp;COUNTIF($A$2:$A474,$A474))</f>
        <v/>
      </c>
      <c r="L474">
        <f>IF($G474="","",$G474&amp;IF($H474="",""," / "&amp;$H474)&amp;IF($I474="",""," / "&amp;$I474))</f>
        <v/>
      </c>
    </row>
    <row r="475">
      <c r="A475" s="18" t="n"/>
      <c r="B475" s="18" t="n"/>
      <c r="C475" s="18" t="n"/>
      <c r="D475" s="30" t="n"/>
      <c r="E475" s="18" t="n"/>
      <c r="F475" s="5" t="n"/>
      <c r="G475" s="18" t="n"/>
      <c r="H475" s="30" t="n"/>
      <c r="I475" s="18" t="n"/>
      <c r="J475" s="5" t="n"/>
      <c r="K475">
        <f>IF($A475="","",$A475&amp;"|"&amp;COUNTIF($A$2:$A475,$A475))</f>
        <v/>
      </c>
      <c r="L475">
        <f>IF($G475="","",$G475&amp;IF($H475="",""," / "&amp;$H475)&amp;IF($I475="",""," / "&amp;$I475))</f>
        <v/>
      </c>
    </row>
    <row r="476">
      <c r="A476" s="18" t="n"/>
      <c r="B476" s="18" t="n"/>
      <c r="C476" s="18" t="n"/>
      <c r="D476" s="30" t="n"/>
      <c r="E476" s="18" t="n"/>
      <c r="F476" s="5" t="n"/>
      <c r="G476" s="18" t="n"/>
      <c r="H476" s="30" t="n"/>
      <c r="I476" s="18" t="n"/>
      <c r="J476" s="5" t="n"/>
      <c r="K476">
        <f>IF($A476="","",$A476&amp;"|"&amp;COUNTIF($A$2:$A476,$A476))</f>
        <v/>
      </c>
      <c r="L476">
        <f>IF($G476="","",$G476&amp;IF($H476="",""," / "&amp;$H476)&amp;IF($I476="",""," / "&amp;$I476))</f>
        <v/>
      </c>
    </row>
    <row r="477">
      <c r="A477" s="18" t="n"/>
      <c r="B477" s="18" t="n"/>
      <c r="C477" s="18" t="n"/>
      <c r="D477" s="30" t="n"/>
      <c r="E477" s="18" t="n"/>
      <c r="F477" s="5" t="n"/>
      <c r="G477" s="18" t="n"/>
      <c r="H477" s="30" t="n"/>
      <c r="I477" s="18" t="n"/>
      <c r="J477" s="5" t="n"/>
      <c r="K477">
        <f>IF($A477="","",$A477&amp;"|"&amp;COUNTIF($A$2:$A477,$A477))</f>
        <v/>
      </c>
      <c r="L477">
        <f>IF($G477="","",$G477&amp;IF($H477="",""," / "&amp;$H477)&amp;IF($I477="",""," / "&amp;$I477))</f>
        <v/>
      </c>
    </row>
    <row r="478">
      <c r="A478" s="18" t="n"/>
      <c r="B478" s="18" t="n"/>
      <c r="C478" s="18" t="n"/>
      <c r="D478" s="30" t="n"/>
      <c r="E478" s="18" t="n"/>
      <c r="F478" s="5" t="n"/>
      <c r="G478" s="18" t="n"/>
      <c r="H478" s="30" t="n"/>
      <c r="I478" s="18" t="n"/>
      <c r="J478" s="5" t="n"/>
      <c r="K478">
        <f>IF($A478="","",$A478&amp;"|"&amp;COUNTIF($A$2:$A478,$A478))</f>
        <v/>
      </c>
      <c r="L478">
        <f>IF($G478="","",$G478&amp;IF($H478="",""," / "&amp;$H478)&amp;IF($I478="",""," / "&amp;$I478))</f>
        <v/>
      </c>
    </row>
    <row r="479">
      <c r="A479" s="18" t="n"/>
      <c r="B479" s="18" t="n"/>
      <c r="C479" s="18" t="n"/>
      <c r="D479" s="30" t="n"/>
      <c r="E479" s="18" t="n"/>
      <c r="F479" s="5" t="n"/>
      <c r="G479" s="18" t="n"/>
      <c r="H479" s="30" t="n"/>
      <c r="I479" s="18" t="n"/>
      <c r="J479" s="5" t="n"/>
      <c r="K479">
        <f>IF($A479="","",$A479&amp;"|"&amp;COUNTIF($A$2:$A479,$A479))</f>
        <v/>
      </c>
      <c r="L479">
        <f>IF($G479="","",$G479&amp;IF($H479="",""," / "&amp;$H479)&amp;IF($I479="",""," / "&amp;$I479))</f>
        <v/>
      </c>
    </row>
    <row r="480">
      <c r="A480" s="18" t="n"/>
      <c r="B480" s="18" t="n"/>
      <c r="C480" s="18" t="n"/>
      <c r="D480" s="30" t="n"/>
      <c r="E480" s="18" t="n"/>
      <c r="F480" s="5" t="n"/>
      <c r="G480" s="18" t="n"/>
      <c r="H480" s="30" t="n"/>
      <c r="I480" s="18" t="n"/>
      <c r="J480" s="5" t="n"/>
      <c r="K480">
        <f>IF($A480="","",$A480&amp;"|"&amp;COUNTIF($A$2:$A480,$A480))</f>
        <v/>
      </c>
      <c r="L480">
        <f>IF($G480="","",$G480&amp;IF($H480="",""," / "&amp;$H480)&amp;IF($I480="",""," / "&amp;$I480))</f>
        <v/>
      </c>
    </row>
    <row r="481">
      <c r="A481" s="18" t="n"/>
      <c r="B481" s="18" t="n"/>
      <c r="C481" s="18" t="n"/>
      <c r="D481" s="30" t="n"/>
      <c r="E481" s="18" t="n"/>
      <c r="F481" s="5" t="n"/>
      <c r="G481" s="18" t="n"/>
      <c r="H481" s="30" t="n"/>
      <c r="I481" s="18" t="n"/>
      <c r="J481" s="5" t="n"/>
      <c r="K481">
        <f>IF($A481="","",$A481&amp;"|"&amp;COUNTIF($A$2:$A481,$A481))</f>
        <v/>
      </c>
      <c r="L481">
        <f>IF($G481="","",$G481&amp;IF($H481="",""," / "&amp;$H481)&amp;IF($I481="",""," / "&amp;$I481))</f>
        <v/>
      </c>
    </row>
    <row r="482">
      <c r="A482" s="18" t="n"/>
      <c r="B482" s="18" t="n"/>
      <c r="C482" s="18" t="n"/>
      <c r="D482" s="30" t="n"/>
      <c r="E482" s="18" t="n"/>
      <c r="F482" s="5" t="n"/>
      <c r="G482" s="18" t="n"/>
      <c r="H482" s="30" t="n"/>
      <c r="I482" s="18" t="n"/>
      <c r="J482" s="5" t="n"/>
      <c r="K482">
        <f>IF($A482="","",$A482&amp;"|"&amp;COUNTIF($A$2:$A482,$A482))</f>
        <v/>
      </c>
      <c r="L482">
        <f>IF($G482="","",$G482&amp;IF($H482="",""," / "&amp;$H482)&amp;IF($I482="",""," / "&amp;$I482))</f>
        <v/>
      </c>
    </row>
    <row r="483">
      <c r="A483" s="18" t="n"/>
      <c r="B483" s="18" t="n"/>
      <c r="C483" s="18" t="n"/>
      <c r="D483" s="30" t="n"/>
      <c r="E483" s="18" t="n"/>
      <c r="F483" s="5" t="n"/>
      <c r="G483" s="18" t="n"/>
      <c r="H483" s="30" t="n"/>
      <c r="I483" s="18" t="n"/>
      <c r="J483" s="5" t="n"/>
      <c r="K483">
        <f>IF($A483="","",$A483&amp;"|"&amp;COUNTIF($A$2:$A483,$A483))</f>
        <v/>
      </c>
      <c r="L483">
        <f>IF($G483="","",$G483&amp;IF($H483="",""," / "&amp;$H483)&amp;IF($I483="",""," / "&amp;$I483))</f>
        <v/>
      </c>
    </row>
    <row r="484">
      <c r="A484" s="18" t="n"/>
      <c r="B484" s="18" t="n"/>
      <c r="C484" s="18" t="n"/>
      <c r="D484" s="30" t="n"/>
      <c r="E484" s="18" t="n"/>
      <c r="F484" s="5" t="n"/>
      <c r="G484" s="18" t="n"/>
      <c r="H484" s="30" t="n"/>
      <c r="I484" s="18" t="n"/>
      <c r="J484" s="5" t="n"/>
      <c r="K484">
        <f>IF($A484="","",$A484&amp;"|"&amp;COUNTIF($A$2:$A484,$A484))</f>
        <v/>
      </c>
      <c r="L484">
        <f>IF($G484="","",$G484&amp;IF($H484="",""," / "&amp;$H484)&amp;IF($I484="",""," / "&amp;$I484))</f>
        <v/>
      </c>
    </row>
    <row r="485">
      <c r="A485" s="18" t="n"/>
      <c r="B485" s="18" t="n"/>
      <c r="C485" s="18" t="n"/>
      <c r="D485" s="30" t="n"/>
      <c r="E485" s="18" t="n"/>
      <c r="F485" s="5" t="n"/>
      <c r="G485" s="18" t="n"/>
      <c r="H485" s="30" t="n"/>
      <c r="I485" s="18" t="n"/>
      <c r="J485" s="5" t="n"/>
      <c r="K485">
        <f>IF($A485="","",$A485&amp;"|"&amp;COUNTIF($A$2:$A485,$A485))</f>
        <v/>
      </c>
      <c r="L485">
        <f>IF($G485="","",$G485&amp;IF($H485="",""," / "&amp;$H485)&amp;IF($I485="",""," / "&amp;$I485))</f>
        <v/>
      </c>
    </row>
    <row r="486">
      <c r="A486" s="18" t="n"/>
      <c r="B486" s="18" t="n"/>
      <c r="C486" s="18" t="n"/>
      <c r="D486" s="30" t="n"/>
      <c r="E486" s="18" t="n"/>
      <c r="F486" s="5" t="n"/>
      <c r="G486" s="18" t="n"/>
      <c r="H486" s="30" t="n"/>
      <c r="I486" s="18" t="n"/>
      <c r="J486" s="5" t="n"/>
      <c r="K486">
        <f>IF($A486="","",$A486&amp;"|"&amp;COUNTIF($A$2:$A486,$A486))</f>
        <v/>
      </c>
      <c r="L486">
        <f>IF($G486="","",$G486&amp;IF($H486="",""," / "&amp;$H486)&amp;IF($I486="",""," / "&amp;$I486))</f>
        <v/>
      </c>
    </row>
    <row r="487">
      <c r="A487" s="18" t="n"/>
      <c r="B487" s="18" t="n"/>
      <c r="C487" s="18" t="n"/>
      <c r="D487" s="30" t="n"/>
      <c r="E487" s="18" t="n"/>
      <c r="F487" s="5" t="n"/>
      <c r="G487" s="18" t="n"/>
      <c r="H487" s="30" t="n"/>
      <c r="I487" s="18" t="n"/>
      <c r="J487" s="5" t="n"/>
      <c r="K487">
        <f>IF($A487="","",$A487&amp;"|"&amp;COUNTIF($A$2:$A487,$A487))</f>
        <v/>
      </c>
      <c r="L487">
        <f>IF($G487="","",$G487&amp;IF($H487="",""," / "&amp;$H487)&amp;IF($I487="",""," / "&amp;$I487))</f>
        <v/>
      </c>
    </row>
    <row r="488">
      <c r="A488" s="18" t="n"/>
      <c r="B488" s="18" t="n"/>
      <c r="C488" s="18" t="n"/>
      <c r="D488" s="30" t="n"/>
      <c r="E488" s="18" t="n"/>
      <c r="F488" s="5" t="n"/>
      <c r="G488" s="18" t="n"/>
      <c r="H488" s="30" t="n"/>
      <c r="I488" s="18" t="n"/>
      <c r="J488" s="5" t="n"/>
      <c r="K488">
        <f>IF($A488="","",$A488&amp;"|"&amp;COUNTIF($A$2:$A488,$A488))</f>
        <v/>
      </c>
      <c r="L488">
        <f>IF($G488="","",$G488&amp;IF($H488="",""," / "&amp;$H488)&amp;IF($I488="",""," / "&amp;$I488))</f>
        <v/>
      </c>
    </row>
    <row r="489">
      <c r="A489" s="18" t="n"/>
      <c r="B489" s="18" t="n"/>
      <c r="C489" s="18" t="n"/>
      <c r="D489" s="30" t="n"/>
      <c r="E489" s="18" t="n"/>
      <c r="F489" s="5" t="n"/>
      <c r="G489" s="18" t="n"/>
      <c r="H489" s="30" t="n"/>
      <c r="I489" s="18" t="n"/>
      <c r="J489" s="5" t="n"/>
      <c r="K489">
        <f>IF($A489="","",$A489&amp;"|"&amp;COUNTIF($A$2:$A489,$A489))</f>
        <v/>
      </c>
      <c r="L489">
        <f>IF($G489="","",$G489&amp;IF($H489="",""," / "&amp;$H489)&amp;IF($I489="",""," / "&amp;$I489))</f>
        <v/>
      </c>
    </row>
    <row r="490">
      <c r="A490" s="18" t="n"/>
      <c r="B490" s="18" t="n"/>
      <c r="C490" s="18" t="n"/>
      <c r="D490" s="30" t="n"/>
      <c r="E490" s="18" t="n"/>
      <c r="F490" s="5" t="n"/>
      <c r="G490" s="18" t="n"/>
      <c r="H490" s="30" t="n"/>
      <c r="I490" s="18" t="n"/>
      <c r="J490" s="5" t="n"/>
      <c r="K490">
        <f>IF($A490="","",$A490&amp;"|"&amp;COUNTIF($A$2:$A490,$A490))</f>
        <v/>
      </c>
      <c r="L490">
        <f>IF($G490="","",$G490&amp;IF($H490="",""," / "&amp;$H490)&amp;IF($I490="",""," / "&amp;$I490))</f>
        <v/>
      </c>
    </row>
    <row r="491">
      <c r="A491" s="18" t="n"/>
      <c r="B491" s="18" t="n"/>
      <c r="C491" s="18" t="n"/>
      <c r="D491" s="30" t="n"/>
      <c r="E491" s="18" t="n"/>
      <c r="F491" s="5" t="n"/>
      <c r="G491" s="18" t="n"/>
      <c r="H491" s="30" t="n"/>
      <c r="I491" s="18" t="n"/>
      <c r="J491" s="5" t="n"/>
      <c r="K491">
        <f>IF($A491="","",$A491&amp;"|"&amp;COUNTIF($A$2:$A491,$A491))</f>
        <v/>
      </c>
      <c r="L491">
        <f>IF($G491="","",$G491&amp;IF($H491="",""," / "&amp;$H491)&amp;IF($I491="",""," / "&amp;$I491))</f>
        <v/>
      </c>
    </row>
    <row r="492">
      <c r="A492" s="18" t="n"/>
      <c r="B492" s="18" t="n"/>
      <c r="C492" s="18" t="n"/>
      <c r="D492" s="30" t="n"/>
      <c r="E492" s="18" t="n"/>
      <c r="F492" s="5" t="n"/>
      <c r="G492" s="18" t="n"/>
      <c r="H492" s="30" t="n"/>
      <c r="I492" s="18" t="n"/>
      <c r="J492" s="5" t="n"/>
      <c r="K492">
        <f>IF($A492="","",$A492&amp;"|"&amp;COUNTIF($A$2:$A492,$A492))</f>
        <v/>
      </c>
      <c r="L492">
        <f>IF($G492="","",$G492&amp;IF($H492="",""," / "&amp;$H492)&amp;IF($I492="",""," / "&amp;$I492))</f>
        <v/>
      </c>
    </row>
    <row r="493">
      <c r="A493" s="18" t="n"/>
      <c r="B493" s="18" t="n"/>
      <c r="C493" s="18" t="n"/>
      <c r="D493" s="30" t="n"/>
      <c r="E493" s="18" t="n"/>
      <c r="F493" s="5" t="n"/>
      <c r="G493" s="18" t="n"/>
      <c r="H493" s="30" t="n"/>
      <c r="I493" s="18" t="n"/>
      <c r="J493" s="5" t="n"/>
      <c r="K493">
        <f>IF($A493="","",$A493&amp;"|"&amp;COUNTIF($A$2:$A493,$A493))</f>
        <v/>
      </c>
      <c r="L493">
        <f>IF($G493="","",$G493&amp;IF($H493="",""," / "&amp;$H493)&amp;IF($I493="",""," / "&amp;$I493))</f>
        <v/>
      </c>
    </row>
    <row r="494">
      <c r="A494" s="18" t="n"/>
      <c r="B494" s="18" t="n"/>
      <c r="C494" s="18" t="n"/>
      <c r="D494" s="30" t="n"/>
      <c r="E494" s="18" t="n"/>
      <c r="F494" s="5" t="n"/>
      <c r="G494" s="18" t="n"/>
      <c r="H494" s="30" t="n"/>
      <c r="I494" s="18" t="n"/>
      <c r="J494" s="5" t="n"/>
      <c r="K494">
        <f>IF($A494="","",$A494&amp;"|"&amp;COUNTIF($A$2:$A494,$A494))</f>
        <v/>
      </c>
      <c r="L494">
        <f>IF($G494="","",$G494&amp;IF($H494="",""," / "&amp;$H494)&amp;IF($I494="",""," / "&amp;$I494))</f>
        <v/>
      </c>
    </row>
    <row r="495">
      <c r="A495" s="18" t="n"/>
      <c r="B495" s="18" t="n"/>
      <c r="C495" s="18" t="n"/>
      <c r="D495" s="30" t="n"/>
      <c r="E495" s="18" t="n"/>
      <c r="F495" s="5" t="n"/>
      <c r="G495" s="18" t="n"/>
      <c r="H495" s="30" t="n"/>
      <c r="I495" s="18" t="n"/>
      <c r="J495" s="5" t="n"/>
      <c r="K495">
        <f>IF($A495="","",$A495&amp;"|"&amp;COUNTIF($A$2:$A495,$A495))</f>
        <v/>
      </c>
      <c r="L495">
        <f>IF($G495="","",$G495&amp;IF($H495="",""," / "&amp;$H495)&amp;IF($I495="",""," / "&amp;$I495))</f>
        <v/>
      </c>
    </row>
    <row r="496">
      <c r="A496" s="18" t="n"/>
      <c r="B496" s="18" t="n"/>
      <c r="C496" s="18" t="n"/>
      <c r="D496" s="30" t="n"/>
      <c r="E496" s="18" t="n"/>
      <c r="F496" s="5" t="n"/>
      <c r="G496" s="18" t="n"/>
      <c r="H496" s="30" t="n"/>
      <c r="I496" s="18" t="n"/>
      <c r="J496" s="5" t="n"/>
      <c r="K496">
        <f>IF($A496="","",$A496&amp;"|"&amp;COUNTIF($A$2:$A496,$A496))</f>
        <v/>
      </c>
      <c r="L496">
        <f>IF($G496="","",$G496&amp;IF($H496="",""," / "&amp;$H496)&amp;IF($I496="",""," / "&amp;$I496))</f>
        <v/>
      </c>
    </row>
    <row r="497">
      <c r="A497" s="18" t="n"/>
      <c r="B497" s="18" t="n"/>
      <c r="C497" s="18" t="n"/>
      <c r="D497" s="30" t="n"/>
      <c r="E497" s="18" t="n"/>
      <c r="F497" s="5" t="n"/>
      <c r="G497" s="18" t="n"/>
      <c r="H497" s="30" t="n"/>
      <c r="I497" s="18" t="n"/>
      <c r="J497" s="5" t="n"/>
      <c r="K497">
        <f>IF($A497="","",$A497&amp;"|"&amp;COUNTIF($A$2:$A497,$A497))</f>
        <v/>
      </c>
      <c r="L497">
        <f>IF($G497="","",$G497&amp;IF($H497="",""," / "&amp;$H497)&amp;IF($I497="",""," / "&amp;$I497))</f>
        <v/>
      </c>
    </row>
    <row r="498">
      <c r="A498" s="18" t="n"/>
      <c r="B498" s="18" t="n"/>
      <c r="C498" s="18" t="n"/>
      <c r="D498" s="30" t="n"/>
      <c r="E498" s="18" t="n"/>
      <c r="F498" s="5" t="n"/>
      <c r="G498" s="18" t="n"/>
      <c r="H498" s="30" t="n"/>
      <c r="I498" s="18" t="n"/>
      <c r="J498" s="5" t="n"/>
      <c r="K498">
        <f>IF($A498="","",$A498&amp;"|"&amp;COUNTIF($A$2:$A498,$A498))</f>
        <v/>
      </c>
      <c r="L498">
        <f>IF($G498="","",$G498&amp;IF($H498="",""," / "&amp;$H498)&amp;IF($I498="",""," / "&amp;$I498))</f>
        <v/>
      </c>
    </row>
    <row r="499">
      <c r="A499" s="18" t="n"/>
      <c r="B499" s="18" t="n"/>
      <c r="C499" s="18" t="n"/>
      <c r="D499" s="30" t="n"/>
      <c r="E499" s="18" t="n"/>
      <c r="F499" s="5" t="n"/>
      <c r="G499" s="18" t="n"/>
      <c r="H499" s="30" t="n"/>
      <c r="I499" s="18" t="n"/>
      <c r="J499" s="5" t="n"/>
      <c r="K499">
        <f>IF($A499="","",$A499&amp;"|"&amp;COUNTIF($A$2:$A499,$A499))</f>
        <v/>
      </c>
      <c r="L499">
        <f>IF($G499="","",$G499&amp;IF($H499="",""," / "&amp;$H499)&amp;IF($I499="",""," / "&amp;$I499))</f>
        <v/>
      </c>
    </row>
    <row r="500">
      <c r="A500" s="18" t="n"/>
      <c r="B500" s="18" t="n"/>
      <c r="C500" s="18" t="n"/>
      <c r="D500" s="30" t="n"/>
      <c r="E500" s="18" t="n"/>
      <c r="F500" s="5" t="n"/>
      <c r="G500" s="18" t="n"/>
      <c r="H500" s="30" t="n"/>
      <c r="I500" s="18" t="n"/>
      <c r="J500" s="5" t="n"/>
      <c r="K500">
        <f>IF($A500="","",$A500&amp;"|"&amp;COUNTIF($A$2:$A500,$A500))</f>
        <v/>
      </c>
      <c r="L500">
        <f>IF($G500="","",$G500&amp;IF($H500="",""," / "&amp;$H500)&amp;IF($I500="",""," / "&amp;$I500))</f>
        <v/>
      </c>
    </row>
    <row r="501">
      <c r="A501" s="18" t="n"/>
      <c r="B501" s="18" t="n"/>
      <c r="C501" s="18" t="n"/>
      <c r="D501" s="30" t="n"/>
      <c r="E501" s="18" t="n"/>
      <c r="F501" s="5" t="n"/>
      <c r="G501" s="18" t="n"/>
      <c r="H501" s="30" t="n"/>
      <c r="I501" s="18" t="n"/>
      <c r="J501" s="5" t="n"/>
      <c r="K501">
        <f>IF($A501="","",$A501&amp;"|"&amp;COUNTIF($A$2:$A501,$A501))</f>
        <v/>
      </c>
      <c r="L501">
        <f>IF($G501="","",$G501&amp;IF($H501="",""," / "&amp;$H501)&amp;IF($I501="",""," / "&amp;$I501))</f>
        <v/>
      </c>
    </row>
  </sheetData>
  <conditionalFormatting sqref="A2:A501">
    <cfRule type="expression" priority="1" dxfId="2">
      <formula>AND($A2&lt;&gt;"",COUNTIF(Builders!$A$2:$A$201,$A2)=0)</formula>
    </cfRule>
  </conditionalFormatting>
  <conditionalFormatting sqref="C2:C501">
    <cfRule type="expression" priority="2" dxfId="4">
      <formula>AND($C2&lt;&gt;"",$D2="",$E2="")</formula>
    </cfRule>
  </conditionalFormatting>
  <conditionalFormatting sqref="A2:J501">
    <cfRule type="expression" priority="10" dxfId="3">
      <formula>MOD(ROW(),2)=0</formula>
    </cfRule>
  </conditionalFormatting>
  <dataValidations count="2">
    <dataValidation sqref="A2:A501" showDropDown="0" showInputMessage="0" showErrorMessage="0" allowBlank="1" type="list">
      <formula1>BuilderList</formula1>
    </dataValidation>
    <dataValidation sqref="B2:B501" showDropDown="0" showInputMessage="0" showErrorMessage="0" allowBlank="1" type="list">
      <formula1>RoleList</formula1>
    </dataValidation>
  </dataValidations>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E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16" customWidth="1" min="3" max="3"/>
    <col width="36" customWidth="1" min="4" max="4"/>
    <col width="45" customWidth="1" min="5" max="5"/>
  </cols>
  <sheetData>
    <row r="1" ht="28" customHeight="1">
      <c r="A1" s="17" t="inlineStr">
        <is>
          <t>Title Company</t>
        </is>
      </c>
      <c r="B1" s="17" t="inlineStr">
        <is>
          <t>Team / Group Email</t>
        </is>
      </c>
      <c r="C1" s="17" t="inlineStr">
        <is>
          <t>Office Phone</t>
        </is>
      </c>
      <c r="D1" s="17" t="inlineStr">
        <is>
          <t>Office Address</t>
        </is>
      </c>
      <c r="E1" s="17" t="inlineStr">
        <is>
          <t>Notes</t>
        </is>
      </c>
    </row>
    <row r="2">
      <c r="A2" s="18" t="n"/>
      <c r="B2" s="18" t="n"/>
      <c r="C2" s="30" t="n"/>
      <c r="D2" s="18" t="n"/>
      <c r="E2" s="5" t="n"/>
    </row>
    <row r="3">
      <c r="A3" s="18" t="n"/>
      <c r="B3" s="18" t="n"/>
      <c r="C3" s="30" t="n"/>
      <c r="D3" s="18" t="n"/>
      <c r="E3" s="5" t="n"/>
    </row>
    <row r="4">
      <c r="A4" s="18" t="n"/>
      <c r="B4" s="18" t="n"/>
      <c r="C4" s="30" t="n"/>
      <c r="D4" s="18" t="n"/>
      <c r="E4" s="5" t="n"/>
    </row>
    <row r="5">
      <c r="A5" s="18" t="n"/>
      <c r="B5" s="18" t="n"/>
      <c r="C5" s="30" t="n"/>
      <c r="D5" s="18" t="n"/>
      <c r="E5" s="5" t="n"/>
    </row>
    <row r="6">
      <c r="A6" s="18" t="n"/>
      <c r="B6" s="18" t="n"/>
      <c r="C6" s="30" t="n"/>
      <c r="D6" s="18" t="n"/>
      <c r="E6" s="5" t="n"/>
    </row>
    <row r="7">
      <c r="A7" s="18" t="n"/>
      <c r="B7" s="18" t="n"/>
      <c r="C7" s="30" t="n"/>
      <c r="D7" s="18" t="n"/>
      <c r="E7" s="5" t="n"/>
    </row>
    <row r="8">
      <c r="A8" s="18" t="n"/>
      <c r="B8" s="18" t="n"/>
      <c r="C8" s="30" t="n"/>
      <c r="D8" s="18" t="n"/>
      <c r="E8" s="5" t="n"/>
    </row>
    <row r="9">
      <c r="A9" s="18" t="n"/>
      <c r="B9" s="18" t="n"/>
      <c r="C9" s="30" t="n"/>
      <c r="D9" s="18" t="n"/>
      <c r="E9" s="5" t="n"/>
    </row>
    <row r="10">
      <c r="A10" s="18" t="n"/>
      <c r="B10" s="18" t="n"/>
      <c r="C10" s="30" t="n"/>
      <c r="D10" s="18" t="n"/>
      <c r="E10" s="5" t="n"/>
    </row>
    <row r="11">
      <c r="A11" s="18" t="n"/>
      <c r="B11" s="18" t="n"/>
      <c r="C11" s="30" t="n"/>
      <c r="D11" s="18" t="n"/>
      <c r="E11" s="5" t="n"/>
    </row>
    <row r="12">
      <c r="A12" s="18" t="n"/>
      <c r="B12" s="18" t="n"/>
      <c r="C12" s="30" t="n"/>
      <c r="D12" s="18" t="n"/>
      <c r="E12" s="5" t="n"/>
    </row>
    <row r="13">
      <c r="A13" s="18" t="n"/>
      <c r="B13" s="18" t="n"/>
      <c r="C13" s="30" t="n"/>
      <c r="D13" s="18" t="n"/>
      <c r="E13" s="5" t="n"/>
    </row>
    <row r="14">
      <c r="A14" s="18" t="n"/>
      <c r="B14" s="18" t="n"/>
      <c r="C14" s="30" t="n"/>
      <c r="D14" s="18" t="n"/>
      <c r="E14" s="5" t="n"/>
    </row>
    <row r="15">
      <c r="A15" s="18" t="n"/>
      <c r="B15" s="18" t="n"/>
      <c r="C15" s="30" t="n"/>
      <c r="D15" s="18" t="n"/>
      <c r="E15" s="5" t="n"/>
    </row>
    <row r="16">
      <c r="A16" s="18" t="n"/>
      <c r="B16" s="18" t="n"/>
      <c r="C16" s="30" t="n"/>
      <c r="D16" s="18" t="n"/>
      <c r="E16" s="5" t="n"/>
    </row>
    <row r="17">
      <c r="A17" s="18" t="n"/>
      <c r="B17" s="18" t="n"/>
      <c r="C17" s="30" t="n"/>
      <c r="D17" s="18" t="n"/>
      <c r="E17" s="5" t="n"/>
    </row>
    <row r="18">
      <c r="A18" s="18" t="n"/>
      <c r="B18" s="18" t="n"/>
      <c r="C18" s="30" t="n"/>
      <c r="D18" s="18" t="n"/>
      <c r="E18" s="5" t="n"/>
    </row>
    <row r="19">
      <c r="A19" s="18" t="n"/>
      <c r="B19" s="18" t="n"/>
      <c r="C19" s="30" t="n"/>
      <c r="D19" s="18" t="n"/>
      <c r="E19" s="5" t="n"/>
    </row>
    <row r="20">
      <c r="A20" s="18" t="n"/>
      <c r="B20" s="18" t="n"/>
      <c r="C20" s="30" t="n"/>
      <c r="D20" s="18" t="n"/>
      <c r="E20" s="5" t="n"/>
    </row>
    <row r="21">
      <c r="A21" s="18" t="n"/>
      <c r="B21" s="18" t="n"/>
      <c r="C21" s="30" t="n"/>
      <c r="D21" s="18" t="n"/>
      <c r="E21" s="5" t="n"/>
    </row>
    <row r="22">
      <c r="A22" s="18" t="n"/>
      <c r="B22" s="18" t="n"/>
      <c r="C22" s="30" t="n"/>
      <c r="D22" s="18" t="n"/>
      <c r="E22" s="5" t="n"/>
    </row>
    <row r="23">
      <c r="A23" s="18" t="n"/>
      <c r="B23" s="18" t="n"/>
      <c r="C23" s="30" t="n"/>
      <c r="D23" s="18" t="n"/>
      <c r="E23" s="5" t="n"/>
    </row>
    <row r="24">
      <c r="A24" s="18" t="n"/>
      <c r="B24" s="18" t="n"/>
      <c r="C24" s="30" t="n"/>
      <c r="D24" s="18" t="n"/>
      <c r="E24" s="5" t="n"/>
    </row>
    <row r="25">
      <c r="A25" s="18" t="n"/>
      <c r="B25" s="18" t="n"/>
      <c r="C25" s="30" t="n"/>
      <c r="D25" s="18" t="n"/>
      <c r="E25" s="5" t="n"/>
    </row>
    <row r="26">
      <c r="A26" s="18" t="n"/>
      <c r="B26" s="18" t="n"/>
      <c r="C26" s="30" t="n"/>
      <c r="D26" s="18" t="n"/>
      <c r="E26" s="5" t="n"/>
    </row>
    <row r="27">
      <c r="A27" s="18" t="n"/>
      <c r="B27" s="18" t="n"/>
      <c r="C27" s="30" t="n"/>
      <c r="D27" s="18" t="n"/>
      <c r="E27" s="5" t="n"/>
    </row>
    <row r="28">
      <c r="A28" s="18" t="n"/>
      <c r="B28" s="18" t="n"/>
      <c r="C28" s="30" t="n"/>
      <c r="D28" s="18" t="n"/>
      <c r="E28" s="5" t="n"/>
    </row>
    <row r="29">
      <c r="A29" s="18" t="n"/>
      <c r="B29" s="18" t="n"/>
      <c r="C29" s="30" t="n"/>
      <c r="D29" s="18" t="n"/>
      <c r="E29" s="5" t="n"/>
    </row>
    <row r="30">
      <c r="A30" s="18" t="n"/>
      <c r="B30" s="18" t="n"/>
      <c r="C30" s="30" t="n"/>
      <c r="D30" s="18" t="n"/>
      <c r="E30" s="5" t="n"/>
    </row>
    <row r="31">
      <c r="A31" s="18" t="n"/>
      <c r="B31" s="18" t="n"/>
      <c r="C31" s="30" t="n"/>
      <c r="D31" s="18" t="n"/>
      <c r="E31" s="5" t="n"/>
    </row>
    <row r="32">
      <c r="A32" s="18" t="n"/>
      <c r="B32" s="18" t="n"/>
      <c r="C32" s="30" t="n"/>
      <c r="D32" s="18" t="n"/>
      <c r="E32" s="5" t="n"/>
    </row>
    <row r="33">
      <c r="A33" s="18" t="n"/>
      <c r="B33" s="18" t="n"/>
      <c r="C33" s="30" t="n"/>
      <c r="D33" s="18" t="n"/>
      <c r="E33" s="5" t="n"/>
    </row>
    <row r="34">
      <c r="A34" s="18" t="n"/>
      <c r="B34" s="18" t="n"/>
      <c r="C34" s="30" t="n"/>
      <c r="D34" s="18" t="n"/>
      <c r="E34" s="5" t="n"/>
    </row>
    <row r="35">
      <c r="A35" s="18" t="n"/>
      <c r="B35" s="18" t="n"/>
      <c r="C35" s="30" t="n"/>
      <c r="D35" s="18" t="n"/>
      <c r="E35" s="5" t="n"/>
    </row>
    <row r="36">
      <c r="A36" s="18" t="n"/>
      <c r="B36" s="18" t="n"/>
      <c r="C36" s="30" t="n"/>
      <c r="D36" s="18" t="n"/>
      <c r="E36" s="5" t="n"/>
    </row>
    <row r="37">
      <c r="A37" s="18" t="n"/>
      <c r="B37" s="18" t="n"/>
      <c r="C37" s="30" t="n"/>
      <c r="D37" s="18" t="n"/>
      <c r="E37" s="5" t="n"/>
    </row>
    <row r="38">
      <c r="A38" s="18" t="n"/>
      <c r="B38" s="18" t="n"/>
      <c r="C38" s="30" t="n"/>
      <c r="D38" s="18" t="n"/>
      <c r="E38" s="5" t="n"/>
    </row>
    <row r="39">
      <c r="A39" s="18" t="n"/>
      <c r="B39" s="18" t="n"/>
      <c r="C39" s="30" t="n"/>
      <c r="D39" s="18" t="n"/>
      <c r="E39" s="5" t="n"/>
    </row>
    <row r="40">
      <c r="A40" s="18" t="n"/>
      <c r="B40" s="18" t="n"/>
      <c r="C40" s="30" t="n"/>
      <c r="D40" s="18" t="n"/>
      <c r="E40" s="5" t="n"/>
    </row>
    <row r="41">
      <c r="A41" s="18" t="n"/>
      <c r="B41" s="18" t="n"/>
      <c r="C41" s="30" t="n"/>
      <c r="D41" s="18" t="n"/>
      <c r="E41" s="5" t="n"/>
    </row>
    <row r="42">
      <c r="A42" s="18" t="n"/>
      <c r="B42" s="18" t="n"/>
      <c r="C42" s="30" t="n"/>
      <c r="D42" s="18" t="n"/>
      <c r="E42" s="5" t="n"/>
    </row>
    <row r="43">
      <c r="A43" s="18" t="n"/>
      <c r="B43" s="18" t="n"/>
      <c r="C43" s="30" t="n"/>
      <c r="D43" s="18" t="n"/>
      <c r="E43" s="5" t="n"/>
    </row>
    <row r="44">
      <c r="A44" s="18" t="n"/>
      <c r="B44" s="18" t="n"/>
      <c r="C44" s="30" t="n"/>
      <c r="D44" s="18" t="n"/>
      <c r="E44" s="5" t="n"/>
    </row>
    <row r="45">
      <c r="A45" s="18" t="n"/>
      <c r="B45" s="18" t="n"/>
      <c r="C45" s="30" t="n"/>
      <c r="D45" s="18" t="n"/>
      <c r="E45" s="5" t="n"/>
    </row>
    <row r="46">
      <c r="A46" s="18" t="n"/>
      <c r="B46" s="18" t="n"/>
      <c r="C46" s="30" t="n"/>
      <c r="D46" s="18" t="n"/>
      <c r="E46" s="5" t="n"/>
    </row>
    <row r="47">
      <c r="A47" s="18" t="n"/>
      <c r="B47" s="18" t="n"/>
      <c r="C47" s="30" t="n"/>
      <c r="D47" s="18" t="n"/>
      <c r="E47" s="5" t="n"/>
    </row>
    <row r="48">
      <c r="A48" s="18" t="n"/>
      <c r="B48" s="18" t="n"/>
      <c r="C48" s="30" t="n"/>
      <c r="D48" s="18" t="n"/>
      <c r="E48" s="5" t="n"/>
    </row>
    <row r="49">
      <c r="A49" s="18" t="n"/>
      <c r="B49" s="18" t="n"/>
      <c r="C49" s="30" t="n"/>
      <c r="D49" s="18" t="n"/>
      <c r="E49" s="5" t="n"/>
    </row>
    <row r="50">
      <c r="A50" s="18" t="n"/>
      <c r="B50" s="18" t="n"/>
      <c r="C50" s="30" t="n"/>
      <c r="D50" s="18" t="n"/>
      <c r="E50" s="5" t="n"/>
    </row>
    <row r="51">
      <c r="A51" s="18" t="n"/>
      <c r="B51" s="18" t="n"/>
      <c r="C51" s="30" t="n"/>
      <c r="D51" s="18" t="n"/>
      <c r="E51" s="5" t="n"/>
    </row>
    <row r="52">
      <c r="A52" s="18" t="n"/>
      <c r="B52" s="18" t="n"/>
      <c r="C52" s="30" t="n"/>
      <c r="D52" s="18" t="n"/>
      <c r="E52" s="5" t="n"/>
    </row>
    <row r="53">
      <c r="A53" s="18" t="n"/>
      <c r="B53" s="18" t="n"/>
      <c r="C53" s="30" t="n"/>
      <c r="D53" s="18" t="n"/>
      <c r="E53" s="5" t="n"/>
    </row>
    <row r="54">
      <c r="A54" s="18" t="n"/>
      <c r="B54" s="18" t="n"/>
      <c r="C54" s="30" t="n"/>
      <c r="D54" s="18" t="n"/>
      <c r="E54" s="5" t="n"/>
    </row>
    <row r="55">
      <c r="A55" s="18" t="n"/>
      <c r="B55" s="18" t="n"/>
      <c r="C55" s="30" t="n"/>
      <c r="D55" s="18" t="n"/>
      <c r="E55" s="5" t="n"/>
    </row>
    <row r="56">
      <c r="A56" s="18" t="n"/>
      <c r="B56" s="18" t="n"/>
      <c r="C56" s="30" t="n"/>
      <c r="D56" s="18" t="n"/>
      <c r="E56" s="5" t="n"/>
    </row>
    <row r="57">
      <c r="A57" s="18" t="n"/>
      <c r="B57" s="18" t="n"/>
      <c r="C57" s="30" t="n"/>
      <c r="D57" s="18" t="n"/>
      <c r="E57" s="5" t="n"/>
    </row>
    <row r="58">
      <c r="A58" s="18" t="n"/>
      <c r="B58" s="18" t="n"/>
      <c r="C58" s="30" t="n"/>
      <c r="D58" s="18" t="n"/>
      <c r="E58" s="5" t="n"/>
    </row>
    <row r="59">
      <c r="A59" s="18" t="n"/>
      <c r="B59" s="18" t="n"/>
      <c r="C59" s="30" t="n"/>
      <c r="D59" s="18" t="n"/>
      <c r="E59" s="5" t="n"/>
    </row>
    <row r="60">
      <c r="A60" s="18" t="n"/>
      <c r="B60" s="18" t="n"/>
      <c r="C60" s="30" t="n"/>
      <c r="D60" s="18" t="n"/>
      <c r="E60" s="5" t="n"/>
    </row>
    <row r="61">
      <c r="A61" s="18" t="n"/>
      <c r="B61" s="18" t="n"/>
      <c r="C61" s="30" t="n"/>
      <c r="D61" s="18" t="n"/>
      <c r="E61" s="5" t="n"/>
    </row>
    <row r="62">
      <c r="A62" s="18" t="n"/>
      <c r="B62" s="18" t="n"/>
      <c r="C62" s="30" t="n"/>
      <c r="D62" s="18" t="n"/>
      <c r="E62" s="5" t="n"/>
    </row>
    <row r="63">
      <c r="A63" s="18" t="n"/>
      <c r="B63" s="18" t="n"/>
      <c r="C63" s="30" t="n"/>
      <c r="D63" s="18" t="n"/>
      <c r="E63" s="5" t="n"/>
    </row>
    <row r="64">
      <c r="A64" s="18" t="n"/>
      <c r="B64" s="18" t="n"/>
      <c r="C64" s="30" t="n"/>
      <c r="D64" s="18" t="n"/>
      <c r="E64" s="5" t="n"/>
    </row>
    <row r="65">
      <c r="A65" s="18" t="n"/>
      <c r="B65" s="18" t="n"/>
      <c r="C65" s="30" t="n"/>
      <c r="D65" s="18" t="n"/>
      <c r="E65" s="5" t="n"/>
    </row>
    <row r="66">
      <c r="A66" s="18" t="n"/>
      <c r="B66" s="18" t="n"/>
      <c r="C66" s="30" t="n"/>
      <c r="D66" s="18" t="n"/>
      <c r="E66" s="5" t="n"/>
    </row>
    <row r="67">
      <c r="A67" s="18" t="n"/>
      <c r="B67" s="18" t="n"/>
      <c r="C67" s="30" t="n"/>
      <c r="D67" s="18" t="n"/>
      <c r="E67" s="5" t="n"/>
    </row>
    <row r="68">
      <c r="A68" s="18" t="n"/>
      <c r="B68" s="18" t="n"/>
      <c r="C68" s="30" t="n"/>
      <c r="D68" s="18" t="n"/>
      <c r="E68" s="5" t="n"/>
    </row>
    <row r="69">
      <c r="A69" s="18" t="n"/>
      <c r="B69" s="18" t="n"/>
      <c r="C69" s="30" t="n"/>
      <c r="D69" s="18" t="n"/>
      <c r="E69" s="5" t="n"/>
    </row>
    <row r="70">
      <c r="A70" s="18" t="n"/>
      <c r="B70" s="18" t="n"/>
      <c r="C70" s="30" t="n"/>
      <c r="D70" s="18" t="n"/>
      <c r="E70" s="5" t="n"/>
    </row>
    <row r="71">
      <c r="A71" s="18" t="n"/>
      <c r="B71" s="18" t="n"/>
      <c r="C71" s="30" t="n"/>
      <c r="D71" s="18" t="n"/>
      <c r="E71" s="5" t="n"/>
    </row>
    <row r="72">
      <c r="A72" s="18" t="n"/>
      <c r="B72" s="18" t="n"/>
      <c r="C72" s="30" t="n"/>
      <c r="D72" s="18" t="n"/>
      <c r="E72" s="5" t="n"/>
    </row>
    <row r="73">
      <c r="A73" s="18" t="n"/>
      <c r="B73" s="18" t="n"/>
      <c r="C73" s="30" t="n"/>
      <c r="D73" s="18" t="n"/>
      <c r="E73" s="5" t="n"/>
    </row>
    <row r="74">
      <c r="A74" s="18" t="n"/>
      <c r="B74" s="18" t="n"/>
      <c r="C74" s="30" t="n"/>
      <c r="D74" s="18" t="n"/>
      <c r="E74" s="5" t="n"/>
    </row>
    <row r="75">
      <c r="A75" s="18" t="n"/>
      <c r="B75" s="18" t="n"/>
      <c r="C75" s="30" t="n"/>
      <c r="D75" s="18" t="n"/>
      <c r="E75" s="5" t="n"/>
    </row>
    <row r="76">
      <c r="A76" s="18" t="n"/>
      <c r="B76" s="18" t="n"/>
      <c r="C76" s="30" t="n"/>
      <c r="D76" s="18" t="n"/>
      <c r="E76" s="5" t="n"/>
    </row>
    <row r="77">
      <c r="A77" s="18" t="n"/>
      <c r="B77" s="18" t="n"/>
      <c r="C77" s="30" t="n"/>
      <c r="D77" s="18" t="n"/>
      <c r="E77" s="5" t="n"/>
    </row>
    <row r="78">
      <c r="A78" s="18" t="n"/>
      <c r="B78" s="18" t="n"/>
      <c r="C78" s="30" t="n"/>
      <c r="D78" s="18" t="n"/>
      <c r="E78" s="5" t="n"/>
    </row>
    <row r="79">
      <c r="A79" s="18" t="n"/>
      <c r="B79" s="18" t="n"/>
      <c r="C79" s="30" t="n"/>
      <c r="D79" s="18" t="n"/>
      <c r="E79" s="5" t="n"/>
    </row>
    <row r="80">
      <c r="A80" s="18" t="n"/>
      <c r="B80" s="18" t="n"/>
      <c r="C80" s="30" t="n"/>
      <c r="D80" s="18" t="n"/>
      <c r="E80" s="5" t="n"/>
    </row>
    <row r="81">
      <c r="A81" s="18" t="n"/>
      <c r="B81" s="18" t="n"/>
      <c r="C81" s="30" t="n"/>
      <c r="D81" s="18" t="n"/>
      <c r="E81" s="5" t="n"/>
    </row>
    <row r="82">
      <c r="A82" s="18" t="n"/>
      <c r="B82" s="18" t="n"/>
      <c r="C82" s="30" t="n"/>
      <c r="D82" s="18" t="n"/>
      <c r="E82" s="5" t="n"/>
    </row>
    <row r="83">
      <c r="A83" s="18" t="n"/>
      <c r="B83" s="18" t="n"/>
      <c r="C83" s="30" t="n"/>
      <c r="D83" s="18" t="n"/>
      <c r="E83" s="5" t="n"/>
    </row>
    <row r="84">
      <c r="A84" s="18" t="n"/>
      <c r="B84" s="18" t="n"/>
      <c r="C84" s="30" t="n"/>
      <c r="D84" s="18" t="n"/>
      <c r="E84" s="5" t="n"/>
    </row>
    <row r="85">
      <c r="A85" s="18" t="n"/>
      <c r="B85" s="18" t="n"/>
      <c r="C85" s="30" t="n"/>
      <c r="D85" s="18" t="n"/>
      <c r="E85" s="5" t="n"/>
    </row>
    <row r="86">
      <c r="A86" s="18" t="n"/>
      <c r="B86" s="18" t="n"/>
      <c r="C86" s="30" t="n"/>
      <c r="D86" s="18" t="n"/>
      <c r="E86" s="5" t="n"/>
    </row>
    <row r="87">
      <c r="A87" s="18" t="n"/>
      <c r="B87" s="18" t="n"/>
      <c r="C87" s="30" t="n"/>
      <c r="D87" s="18" t="n"/>
      <c r="E87" s="5" t="n"/>
    </row>
    <row r="88">
      <c r="A88" s="18" t="n"/>
      <c r="B88" s="18" t="n"/>
      <c r="C88" s="30" t="n"/>
      <c r="D88" s="18" t="n"/>
      <c r="E88" s="5" t="n"/>
    </row>
    <row r="89">
      <c r="A89" s="18" t="n"/>
      <c r="B89" s="18" t="n"/>
      <c r="C89" s="30" t="n"/>
      <c r="D89" s="18" t="n"/>
      <c r="E89" s="5" t="n"/>
    </row>
    <row r="90">
      <c r="A90" s="18" t="n"/>
      <c r="B90" s="18" t="n"/>
      <c r="C90" s="30" t="n"/>
      <c r="D90" s="18" t="n"/>
      <c r="E90" s="5" t="n"/>
    </row>
    <row r="91">
      <c r="A91" s="18" t="n"/>
      <c r="B91" s="18" t="n"/>
      <c r="C91" s="30" t="n"/>
      <c r="D91" s="18" t="n"/>
      <c r="E91" s="5" t="n"/>
    </row>
    <row r="92">
      <c r="A92" s="18" t="n"/>
      <c r="B92" s="18" t="n"/>
      <c r="C92" s="30" t="n"/>
      <c r="D92" s="18" t="n"/>
      <c r="E92" s="5" t="n"/>
    </row>
    <row r="93">
      <c r="A93" s="18" t="n"/>
      <c r="B93" s="18" t="n"/>
      <c r="C93" s="30" t="n"/>
      <c r="D93" s="18" t="n"/>
      <c r="E93" s="5" t="n"/>
    </row>
    <row r="94">
      <c r="A94" s="18" t="n"/>
      <c r="B94" s="18" t="n"/>
      <c r="C94" s="30" t="n"/>
      <c r="D94" s="18" t="n"/>
      <c r="E94" s="5" t="n"/>
    </row>
    <row r="95">
      <c r="A95" s="18" t="n"/>
      <c r="B95" s="18" t="n"/>
      <c r="C95" s="30" t="n"/>
      <c r="D95" s="18" t="n"/>
      <c r="E95" s="5" t="n"/>
    </row>
    <row r="96">
      <c r="A96" s="18" t="n"/>
      <c r="B96" s="18" t="n"/>
      <c r="C96" s="30" t="n"/>
      <c r="D96" s="18" t="n"/>
      <c r="E96" s="5" t="n"/>
    </row>
    <row r="97">
      <c r="A97" s="18" t="n"/>
      <c r="B97" s="18" t="n"/>
      <c r="C97" s="30" t="n"/>
      <c r="D97" s="18" t="n"/>
      <c r="E97" s="5" t="n"/>
    </row>
    <row r="98">
      <c r="A98" s="18" t="n"/>
      <c r="B98" s="18" t="n"/>
      <c r="C98" s="30" t="n"/>
      <c r="D98" s="18" t="n"/>
      <c r="E98" s="5" t="n"/>
    </row>
    <row r="99">
      <c r="A99" s="18" t="n"/>
      <c r="B99" s="18" t="n"/>
      <c r="C99" s="30" t="n"/>
      <c r="D99" s="18" t="n"/>
      <c r="E99" s="5" t="n"/>
    </row>
    <row r="100">
      <c r="A100" s="18" t="n"/>
      <c r="B100" s="18" t="n"/>
      <c r="C100" s="30" t="n"/>
      <c r="D100" s="18" t="n"/>
      <c r="E100" s="5" t="n"/>
    </row>
    <row r="101">
      <c r="A101" s="18" t="n"/>
      <c r="B101" s="18" t="n"/>
      <c r="C101" s="30" t="n"/>
      <c r="D101" s="18" t="n"/>
      <c r="E101" s="5" t="n"/>
    </row>
  </sheetData>
  <conditionalFormatting sqref="A2:A101">
    <cfRule type="expression" priority="1" dxfId="2">
      <formula>AND($A2&lt;&gt;"",COUNTIF($A$2:$A$101,$A2)&gt;1)</formula>
    </cfRule>
  </conditionalFormatting>
  <conditionalFormatting sqref="A2:E101">
    <cfRule type="expression" priority="10" dxfId="3">
      <formula>MOD(ROW(),2)=0</formula>
    </cfRule>
  </conditionalFormatting>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G6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24" customWidth="1" min="3" max="3"/>
    <col width="18" customWidth="1" min="4" max="4"/>
    <col width="32" customWidth="1" min="5" max="5"/>
    <col width="40" customWidth="1" min="6" max="6"/>
    <col hidden="1" width="26" customWidth="1" min="7" max="7"/>
  </cols>
  <sheetData>
    <row r="1" ht="28" customHeight="1">
      <c r="A1" s="17" t="inlineStr">
        <is>
          <t>Title Company</t>
        </is>
      </c>
      <c r="B1" s="17" t="inlineStr">
        <is>
          <t>Role</t>
        </is>
      </c>
      <c r="C1" s="17" t="inlineStr">
        <is>
          <t>Contact Name</t>
        </is>
      </c>
      <c r="D1" s="17" t="inlineStr">
        <is>
          <t>Phone</t>
        </is>
      </c>
      <c r="E1" s="17" t="inlineStr">
        <is>
          <t>Email</t>
        </is>
      </c>
      <c r="F1" s="17" t="inlineStr">
        <is>
          <t>Notes</t>
        </is>
      </c>
      <c r="G1" s="17" t="inlineStr">
        <is>
          <t>AUTO - KEY (hidden - do not touch)</t>
        </is>
      </c>
    </row>
    <row r="2">
      <c r="A2" s="18" t="n"/>
      <c r="B2" s="18" t="n"/>
      <c r="C2" s="18" t="n"/>
      <c r="D2" s="30" t="n"/>
      <c r="E2" s="18" t="n"/>
      <c r="F2" s="5" t="n"/>
      <c r="G2">
        <f>IF($A2="","",$A2&amp;"|"&amp;COUNTIF($A$2:$A2,$A2))</f>
        <v/>
      </c>
    </row>
    <row r="3">
      <c r="A3" s="18" t="n"/>
      <c r="B3" s="18" t="n"/>
      <c r="C3" s="18" t="n"/>
      <c r="D3" s="30" t="n"/>
      <c r="E3" s="18" t="n"/>
      <c r="F3" s="5" t="n"/>
      <c r="G3">
        <f>IF($A3="","",$A3&amp;"|"&amp;COUNTIF($A$2:$A3,$A3))</f>
        <v/>
      </c>
    </row>
    <row r="4">
      <c r="A4" s="18" t="n"/>
      <c r="B4" s="18" t="n"/>
      <c r="C4" s="18" t="n"/>
      <c r="D4" s="30" t="n"/>
      <c r="E4" s="18" t="n"/>
      <c r="F4" s="5" t="n"/>
      <c r="G4">
        <f>IF($A4="","",$A4&amp;"|"&amp;COUNTIF($A$2:$A4,$A4))</f>
        <v/>
      </c>
    </row>
    <row r="5">
      <c r="A5" s="18" t="n"/>
      <c r="B5" s="18" t="n"/>
      <c r="C5" s="18" t="n"/>
      <c r="D5" s="30" t="n"/>
      <c r="E5" s="18" t="n"/>
      <c r="F5" s="5" t="n"/>
      <c r="G5">
        <f>IF($A5="","",$A5&amp;"|"&amp;COUNTIF($A$2:$A5,$A5))</f>
        <v/>
      </c>
    </row>
    <row r="6">
      <c r="A6" s="18" t="n"/>
      <c r="B6" s="18" t="n"/>
      <c r="C6" s="18" t="n"/>
      <c r="D6" s="30" t="n"/>
      <c r="E6" s="18" t="n"/>
      <c r="F6" s="5" t="n"/>
      <c r="G6">
        <f>IF($A6="","",$A6&amp;"|"&amp;COUNTIF($A$2:$A6,$A6))</f>
        <v/>
      </c>
    </row>
    <row r="7">
      <c r="A7" s="18" t="n"/>
      <c r="B7" s="18" t="n"/>
      <c r="C7" s="18" t="n"/>
      <c r="D7" s="30" t="n"/>
      <c r="E7" s="18" t="n"/>
      <c r="F7" s="5" t="n"/>
      <c r="G7">
        <f>IF($A7="","",$A7&amp;"|"&amp;COUNTIF($A$2:$A7,$A7))</f>
        <v/>
      </c>
    </row>
    <row r="8">
      <c r="A8" s="18" t="n"/>
      <c r="B8" s="18" t="n"/>
      <c r="C8" s="18" t="n"/>
      <c r="D8" s="30" t="n"/>
      <c r="E8" s="18" t="n"/>
      <c r="F8" s="5" t="n"/>
      <c r="G8">
        <f>IF($A8="","",$A8&amp;"|"&amp;COUNTIF($A$2:$A8,$A8))</f>
        <v/>
      </c>
    </row>
    <row r="9">
      <c r="A9" s="18" t="n"/>
      <c r="B9" s="18" t="n"/>
      <c r="C9" s="18" t="n"/>
      <c r="D9" s="30" t="n"/>
      <c r="E9" s="18" t="n"/>
      <c r="F9" s="5" t="n"/>
      <c r="G9">
        <f>IF($A9="","",$A9&amp;"|"&amp;COUNTIF($A$2:$A9,$A9))</f>
        <v/>
      </c>
    </row>
    <row r="10">
      <c r="A10" s="18" t="n"/>
      <c r="B10" s="18" t="n"/>
      <c r="C10" s="18" t="n"/>
      <c r="D10" s="30" t="n"/>
      <c r="E10" s="18" t="n"/>
      <c r="F10" s="5" t="n"/>
      <c r="G10">
        <f>IF($A10="","",$A10&amp;"|"&amp;COUNTIF($A$2:$A10,$A10))</f>
        <v/>
      </c>
    </row>
    <row r="11">
      <c r="A11" s="18" t="n"/>
      <c r="B11" s="18" t="n"/>
      <c r="C11" s="18" t="n"/>
      <c r="D11" s="30" t="n"/>
      <c r="E11" s="18" t="n"/>
      <c r="F11" s="5" t="n"/>
      <c r="G11">
        <f>IF($A11="","",$A11&amp;"|"&amp;COUNTIF($A$2:$A11,$A11))</f>
        <v/>
      </c>
    </row>
    <row r="12">
      <c r="A12" s="18" t="n"/>
      <c r="B12" s="18" t="n"/>
      <c r="C12" s="18" t="n"/>
      <c r="D12" s="30" t="n"/>
      <c r="E12" s="18" t="n"/>
      <c r="F12" s="5" t="n"/>
      <c r="G12">
        <f>IF($A12="","",$A12&amp;"|"&amp;COUNTIF($A$2:$A12,$A12))</f>
        <v/>
      </c>
    </row>
    <row r="13">
      <c r="A13" s="18" t="n"/>
      <c r="B13" s="18" t="n"/>
      <c r="C13" s="18" t="n"/>
      <c r="D13" s="30" t="n"/>
      <c r="E13" s="18" t="n"/>
      <c r="F13" s="5" t="n"/>
      <c r="G13">
        <f>IF($A13="","",$A13&amp;"|"&amp;COUNTIF($A$2:$A13,$A13))</f>
        <v/>
      </c>
    </row>
    <row r="14">
      <c r="A14" s="18" t="n"/>
      <c r="B14" s="18" t="n"/>
      <c r="C14" s="18" t="n"/>
      <c r="D14" s="30" t="n"/>
      <c r="E14" s="18" t="n"/>
      <c r="F14" s="5" t="n"/>
      <c r="G14">
        <f>IF($A14="","",$A14&amp;"|"&amp;COUNTIF($A$2:$A14,$A14))</f>
        <v/>
      </c>
    </row>
    <row r="15">
      <c r="A15" s="18" t="n"/>
      <c r="B15" s="18" t="n"/>
      <c r="C15" s="18" t="n"/>
      <c r="D15" s="30" t="n"/>
      <c r="E15" s="18" t="n"/>
      <c r="F15" s="5" t="n"/>
      <c r="G15">
        <f>IF($A15="","",$A15&amp;"|"&amp;COUNTIF($A$2:$A15,$A15))</f>
        <v/>
      </c>
    </row>
    <row r="16">
      <c r="A16" s="18" t="n"/>
      <c r="B16" s="18" t="n"/>
      <c r="C16" s="18" t="n"/>
      <c r="D16" s="30" t="n"/>
      <c r="E16" s="18" t="n"/>
      <c r="F16" s="5" t="n"/>
      <c r="G16">
        <f>IF($A16="","",$A16&amp;"|"&amp;COUNTIF($A$2:$A16,$A16))</f>
        <v/>
      </c>
    </row>
    <row r="17">
      <c r="A17" s="18" t="n"/>
      <c r="B17" s="18" t="n"/>
      <c r="C17" s="18" t="n"/>
      <c r="D17" s="30" t="n"/>
      <c r="E17" s="18" t="n"/>
      <c r="F17" s="5" t="n"/>
      <c r="G17">
        <f>IF($A17="","",$A17&amp;"|"&amp;COUNTIF($A$2:$A17,$A17))</f>
        <v/>
      </c>
    </row>
    <row r="18">
      <c r="A18" s="18" t="n"/>
      <c r="B18" s="18" t="n"/>
      <c r="C18" s="18" t="n"/>
      <c r="D18" s="30" t="n"/>
      <c r="E18" s="18" t="n"/>
      <c r="F18" s="5" t="n"/>
      <c r="G18">
        <f>IF($A18="","",$A18&amp;"|"&amp;COUNTIF($A$2:$A18,$A18))</f>
        <v/>
      </c>
    </row>
    <row r="19">
      <c r="A19" s="18" t="n"/>
      <c r="B19" s="18" t="n"/>
      <c r="C19" s="18" t="n"/>
      <c r="D19" s="30" t="n"/>
      <c r="E19" s="18" t="n"/>
      <c r="F19" s="5" t="n"/>
      <c r="G19">
        <f>IF($A19="","",$A19&amp;"|"&amp;COUNTIF($A$2:$A19,$A19))</f>
        <v/>
      </c>
    </row>
    <row r="20">
      <c r="A20" s="18" t="n"/>
      <c r="B20" s="18" t="n"/>
      <c r="C20" s="18" t="n"/>
      <c r="D20" s="30" t="n"/>
      <c r="E20" s="18" t="n"/>
      <c r="F20" s="5" t="n"/>
      <c r="G20">
        <f>IF($A20="","",$A20&amp;"|"&amp;COUNTIF($A$2:$A20,$A20))</f>
        <v/>
      </c>
    </row>
    <row r="21">
      <c r="A21" s="18" t="n"/>
      <c r="B21" s="18" t="n"/>
      <c r="C21" s="18" t="n"/>
      <c r="D21" s="30" t="n"/>
      <c r="E21" s="18" t="n"/>
      <c r="F21" s="5" t="n"/>
      <c r="G21">
        <f>IF($A21="","",$A21&amp;"|"&amp;COUNTIF($A$2:$A21,$A21))</f>
        <v/>
      </c>
    </row>
    <row r="22">
      <c r="A22" s="18" t="n"/>
      <c r="B22" s="18" t="n"/>
      <c r="C22" s="18" t="n"/>
      <c r="D22" s="30" t="n"/>
      <c r="E22" s="18" t="n"/>
      <c r="F22" s="5" t="n"/>
      <c r="G22">
        <f>IF($A22="","",$A22&amp;"|"&amp;COUNTIF($A$2:$A22,$A22))</f>
        <v/>
      </c>
    </row>
    <row r="23">
      <c r="A23" s="18" t="n"/>
      <c r="B23" s="18" t="n"/>
      <c r="C23" s="18" t="n"/>
      <c r="D23" s="30" t="n"/>
      <c r="E23" s="18" t="n"/>
      <c r="F23" s="5" t="n"/>
      <c r="G23">
        <f>IF($A23="","",$A23&amp;"|"&amp;COUNTIF($A$2:$A23,$A23))</f>
        <v/>
      </c>
    </row>
    <row r="24">
      <c r="A24" s="18" t="n"/>
      <c r="B24" s="18" t="n"/>
      <c r="C24" s="18" t="n"/>
      <c r="D24" s="30" t="n"/>
      <c r="E24" s="18" t="n"/>
      <c r="F24" s="5" t="n"/>
      <c r="G24">
        <f>IF($A24="","",$A24&amp;"|"&amp;COUNTIF($A$2:$A24,$A24))</f>
        <v/>
      </c>
    </row>
    <row r="25">
      <c r="A25" s="18" t="n"/>
      <c r="B25" s="18" t="n"/>
      <c r="C25" s="18" t="n"/>
      <c r="D25" s="30" t="n"/>
      <c r="E25" s="18" t="n"/>
      <c r="F25" s="5" t="n"/>
      <c r="G25">
        <f>IF($A25="","",$A25&amp;"|"&amp;COUNTIF($A$2:$A25,$A25))</f>
        <v/>
      </c>
    </row>
    <row r="26">
      <c r="A26" s="18" t="n"/>
      <c r="B26" s="18" t="n"/>
      <c r="C26" s="18" t="n"/>
      <c r="D26" s="30" t="n"/>
      <c r="E26" s="18" t="n"/>
      <c r="F26" s="5" t="n"/>
      <c r="G26">
        <f>IF($A26="","",$A26&amp;"|"&amp;COUNTIF($A$2:$A26,$A26))</f>
        <v/>
      </c>
    </row>
    <row r="27">
      <c r="A27" s="18" t="n"/>
      <c r="B27" s="18" t="n"/>
      <c r="C27" s="18" t="n"/>
      <c r="D27" s="30" t="n"/>
      <c r="E27" s="18" t="n"/>
      <c r="F27" s="5" t="n"/>
      <c r="G27">
        <f>IF($A27="","",$A27&amp;"|"&amp;COUNTIF($A$2:$A27,$A27))</f>
        <v/>
      </c>
    </row>
    <row r="28">
      <c r="A28" s="18" t="n"/>
      <c r="B28" s="18" t="n"/>
      <c r="C28" s="18" t="n"/>
      <c r="D28" s="30" t="n"/>
      <c r="E28" s="18" t="n"/>
      <c r="F28" s="5" t="n"/>
      <c r="G28">
        <f>IF($A28="","",$A28&amp;"|"&amp;COUNTIF($A$2:$A28,$A28))</f>
        <v/>
      </c>
    </row>
    <row r="29">
      <c r="A29" s="18" t="n"/>
      <c r="B29" s="18" t="n"/>
      <c r="C29" s="18" t="n"/>
      <c r="D29" s="30" t="n"/>
      <c r="E29" s="18" t="n"/>
      <c r="F29" s="5" t="n"/>
      <c r="G29">
        <f>IF($A29="","",$A29&amp;"|"&amp;COUNTIF($A$2:$A29,$A29))</f>
        <v/>
      </c>
    </row>
    <row r="30">
      <c r="A30" s="18" t="n"/>
      <c r="B30" s="18" t="n"/>
      <c r="C30" s="18" t="n"/>
      <c r="D30" s="30" t="n"/>
      <c r="E30" s="18" t="n"/>
      <c r="F30" s="5" t="n"/>
      <c r="G30">
        <f>IF($A30="","",$A30&amp;"|"&amp;COUNTIF($A$2:$A30,$A30))</f>
        <v/>
      </c>
    </row>
    <row r="31">
      <c r="A31" s="18" t="n"/>
      <c r="B31" s="18" t="n"/>
      <c r="C31" s="18" t="n"/>
      <c r="D31" s="30" t="n"/>
      <c r="E31" s="18" t="n"/>
      <c r="F31" s="5" t="n"/>
      <c r="G31">
        <f>IF($A31="","",$A31&amp;"|"&amp;COUNTIF($A$2:$A31,$A31))</f>
        <v/>
      </c>
    </row>
    <row r="32">
      <c r="A32" s="18" t="n"/>
      <c r="B32" s="18" t="n"/>
      <c r="C32" s="18" t="n"/>
      <c r="D32" s="30" t="n"/>
      <c r="E32" s="18" t="n"/>
      <c r="F32" s="5" t="n"/>
      <c r="G32">
        <f>IF($A32="","",$A32&amp;"|"&amp;COUNTIF($A$2:$A32,$A32))</f>
        <v/>
      </c>
    </row>
    <row r="33">
      <c r="A33" s="18" t="n"/>
      <c r="B33" s="18" t="n"/>
      <c r="C33" s="18" t="n"/>
      <c r="D33" s="30" t="n"/>
      <c r="E33" s="18" t="n"/>
      <c r="F33" s="5" t="n"/>
      <c r="G33">
        <f>IF($A33="","",$A33&amp;"|"&amp;COUNTIF($A$2:$A33,$A33))</f>
        <v/>
      </c>
    </row>
    <row r="34">
      <c r="A34" s="18" t="n"/>
      <c r="B34" s="18" t="n"/>
      <c r="C34" s="18" t="n"/>
      <c r="D34" s="30" t="n"/>
      <c r="E34" s="18" t="n"/>
      <c r="F34" s="5" t="n"/>
      <c r="G34">
        <f>IF($A34="","",$A34&amp;"|"&amp;COUNTIF($A$2:$A34,$A34))</f>
        <v/>
      </c>
    </row>
    <row r="35">
      <c r="A35" s="18" t="n"/>
      <c r="B35" s="18" t="n"/>
      <c r="C35" s="18" t="n"/>
      <c r="D35" s="30" t="n"/>
      <c r="E35" s="18" t="n"/>
      <c r="F35" s="5" t="n"/>
      <c r="G35">
        <f>IF($A35="","",$A35&amp;"|"&amp;COUNTIF($A$2:$A35,$A35))</f>
        <v/>
      </c>
    </row>
    <row r="36">
      <c r="A36" s="18" t="n"/>
      <c r="B36" s="18" t="n"/>
      <c r="C36" s="18" t="n"/>
      <c r="D36" s="30" t="n"/>
      <c r="E36" s="18" t="n"/>
      <c r="F36" s="5" t="n"/>
      <c r="G36">
        <f>IF($A36="","",$A36&amp;"|"&amp;COUNTIF($A$2:$A36,$A36))</f>
        <v/>
      </c>
    </row>
    <row r="37">
      <c r="A37" s="18" t="n"/>
      <c r="B37" s="18" t="n"/>
      <c r="C37" s="18" t="n"/>
      <c r="D37" s="30" t="n"/>
      <c r="E37" s="18" t="n"/>
      <c r="F37" s="5" t="n"/>
      <c r="G37">
        <f>IF($A37="","",$A37&amp;"|"&amp;COUNTIF($A$2:$A37,$A37))</f>
        <v/>
      </c>
    </row>
    <row r="38">
      <c r="A38" s="18" t="n"/>
      <c r="B38" s="18" t="n"/>
      <c r="C38" s="18" t="n"/>
      <c r="D38" s="30" t="n"/>
      <c r="E38" s="18" t="n"/>
      <c r="F38" s="5" t="n"/>
      <c r="G38">
        <f>IF($A38="","",$A38&amp;"|"&amp;COUNTIF($A$2:$A38,$A38))</f>
        <v/>
      </c>
    </row>
    <row r="39">
      <c r="A39" s="18" t="n"/>
      <c r="B39" s="18" t="n"/>
      <c r="C39" s="18" t="n"/>
      <c r="D39" s="30" t="n"/>
      <c r="E39" s="18" t="n"/>
      <c r="F39" s="5" t="n"/>
      <c r="G39">
        <f>IF($A39="","",$A39&amp;"|"&amp;COUNTIF($A$2:$A39,$A39))</f>
        <v/>
      </c>
    </row>
    <row r="40">
      <c r="A40" s="18" t="n"/>
      <c r="B40" s="18" t="n"/>
      <c r="C40" s="18" t="n"/>
      <c r="D40" s="30" t="n"/>
      <c r="E40" s="18" t="n"/>
      <c r="F40" s="5" t="n"/>
      <c r="G40">
        <f>IF($A40="","",$A40&amp;"|"&amp;COUNTIF($A$2:$A40,$A40))</f>
        <v/>
      </c>
    </row>
    <row r="41">
      <c r="A41" s="18" t="n"/>
      <c r="B41" s="18" t="n"/>
      <c r="C41" s="18" t="n"/>
      <c r="D41" s="30" t="n"/>
      <c r="E41" s="18" t="n"/>
      <c r="F41" s="5" t="n"/>
      <c r="G41">
        <f>IF($A41="","",$A41&amp;"|"&amp;COUNTIF($A$2:$A41,$A41))</f>
        <v/>
      </c>
    </row>
    <row r="42">
      <c r="A42" s="18" t="n"/>
      <c r="B42" s="18" t="n"/>
      <c r="C42" s="18" t="n"/>
      <c r="D42" s="30" t="n"/>
      <c r="E42" s="18" t="n"/>
      <c r="F42" s="5" t="n"/>
      <c r="G42">
        <f>IF($A42="","",$A42&amp;"|"&amp;COUNTIF($A$2:$A42,$A42))</f>
        <v/>
      </c>
    </row>
    <row r="43">
      <c r="A43" s="18" t="n"/>
      <c r="B43" s="18" t="n"/>
      <c r="C43" s="18" t="n"/>
      <c r="D43" s="30" t="n"/>
      <c r="E43" s="18" t="n"/>
      <c r="F43" s="5" t="n"/>
      <c r="G43">
        <f>IF($A43="","",$A43&amp;"|"&amp;COUNTIF($A$2:$A43,$A43))</f>
        <v/>
      </c>
    </row>
    <row r="44">
      <c r="A44" s="18" t="n"/>
      <c r="B44" s="18" t="n"/>
      <c r="C44" s="18" t="n"/>
      <c r="D44" s="30" t="n"/>
      <c r="E44" s="18" t="n"/>
      <c r="F44" s="5" t="n"/>
      <c r="G44">
        <f>IF($A44="","",$A44&amp;"|"&amp;COUNTIF($A$2:$A44,$A44))</f>
        <v/>
      </c>
    </row>
    <row r="45">
      <c r="A45" s="18" t="n"/>
      <c r="B45" s="18" t="n"/>
      <c r="C45" s="18" t="n"/>
      <c r="D45" s="30" t="n"/>
      <c r="E45" s="18" t="n"/>
      <c r="F45" s="5" t="n"/>
      <c r="G45">
        <f>IF($A45="","",$A45&amp;"|"&amp;COUNTIF($A$2:$A45,$A45))</f>
        <v/>
      </c>
    </row>
    <row r="46">
      <c r="A46" s="18" t="n"/>
      <c r="B46" s="18" t="n"/>
      <c r="C46" s="18" t="n"/>
      <c r="D46" s="30" t="n"/>
      <c r="E46" s="18" t="n"/>
      <c r="F46" s="5" t="n"/>
      <c r="G46">
        <f>IF($A46="","",$A46&amp;"|"&amp;COUNTIF($A$2:$A46,$A46))</f>
        <v/>
      </c>
    </row>
    <row r="47">
      <c r="A47" s="18" t="n"/>
      <c r="B47" s="18" t="n"/>
      <c r="C47" s="18" t="n"/>
      <c r="D47" s="30" t="n"/>
      <c r="E47" s="18" t="n"/>
      <c r="F47" s="5" t="n"/>
      <c r="G47">
        <f>IF($A47="","",$A47&amp;"|"&amp;COUNTIF($A$2:$A47,$A47))</f>
        <v/>
      </c>
    </row>
    <row r="48">
      <c r="A48" s="18" t="n"/>
      <c r="B48" s="18" t="n"/>
      <c r="C48" s="18" t="n"/>
      <c r="D48" s="30" t="n"/>
      <c r="E48" s="18" t="n"/>
      <c r="F48" s="5" t="n"/>
      <c r="G48">
        <f>IF($A48="","",$A48&amp;"|"&amp;COUNTIF($A$2:$A48,$A48))</f>
        <v/>
      </c>
    </row>
    <row r="49">
      <c r="A49" s="18" t="n"/>
      <c r="B49" s="18" t="n"/>
      <c r="C49" s="18" t="n"/>
      <c r="D49" s="30" t="n"/>
      <c r="E49" s="18" t="n"/>
      <c r="F49" s="5" t="n"/>
      <c r="G49">
        <f>IF($A49="","",$A49&amp;"|"&amp;COUNTIF($A$2:$A49,$A49))</f>
        <v/>
      </c>
    </row>
    <row r="50">
      <c r="A50" s="18" t="n"/>
      <c r="B50" s="18" t="n"/>
      <c r="C50" s="18" t="n"/>
      <c r="D50" s="30" t="n"/>
      <c r="E50" s="18" t="n"/>
      <c r="F50" s="5" t="n"/>
      <c r="G50">
        <f>IF($A50="","",$A50&amp;"|"&amp;COUNTIF($A$2:$A50,$A50))</f>
        <v/>
      </c>
    </row>
    <row r="51">
      <c r="A51" s="18" t="n"/>
      <c r="B51" s="18" t="n"/>
      <c r="C51" s="18" t="n"/>
      <c r="D51" s="30" t="n"/>
      <c r="E51" s="18" t="n"/>
      <c r="F51" s="5" t="n"/>
      <c r="G51">
        <f>IF($A51="","",$A51&amp;"|"&amp;COUNTIF($A$2:$A51,$A51))</f>
        <v/>
      </c>
    </row>
    <row r="52">
      <c r="A52" s="18" t="n"/>
      <c r="B52" s="18" t="n"/>
      <c r="C52" s="18" t="n"/>
      <c r="D52" s="30" t="n"/>
      <c r="E52" s="18" t="n"/>
      <c r="F52" s="5" t="n"/>
      <c r="G52">
        <f>IF($A52="","",$A52&amp;"|"&amp;COUNTIF($A$2:$A52,$A52))</f>
        <v/>
      </c>
    </row>
    <row r="53">
      <c r="A53" s="18" t="n"/>
      <c r="B53" s="18" t="n"/>
      <c r="C53" s="18" t="n"/>
      <c r="D53" s="30" t="n"/>
      <c r="E53" s="18" t="n"/>
      <c r="F53" s="5" t="n"/>
      <c r="G53">
        <f>IF($A53="","",$A53&amp;"|"&amp;COUNTIF($A$2:$A53,$A53))</f>
        <v/>
      </c>
    </row>
    <row r="54">
      <c r="A54" s="18" t="n"/>
      <c r="B54" s="18" t="n"/>
      <c r="C54" s="18" t="n"/>
      <c r="D54" s="30" t="n"/>
      <c r="E54" s="18" t="n"/>
      <c r="F54" s="5" t="n"/>
      <c r="G54">
        <f>IF($A54="","",$A54&amp;"|"&amp;COUNTIF($A$2:$A54,$A54))</f>
        <v/>
      </c>
    </row>
    <row r="55">
      <c r="A55" s="18" t="n"/>
      <c r="B55" s="18" t="n"/>
      <c r="C55" s="18" t="n"/>
      <c r="D55" s="30" t="n"/>
      <c r="E55" s="18" t="n"/>
      <c r="F55" s="5" t="n"/>
      <c r="G55">
        <f>IF($A55="","",$A55&amp;"|"&amp;COUNTIF($A$2:$A55,$A55))</f>
        <v/>
      </c>
    </row>
    <row r="56">
      <c r="A56" s="18" t="n"/>
      <c r="B56" s="18" t="n"/>
      <c r="C56" s="18" t="n"/>
      <c r="D56" s="30" t="n"/>
      <c r="E56" s="18" t="n"/>
      <c r="F56" s="5" t="n"/>
      <c r="G56">
        <f>IF($A56="","",$A56&amp;"|"&amp;COUNTIF($A$2:$A56,$A56))</f>
        <v/>
      </c>
    </row>
    <row r="57">
      <c r="A57" s="18" t="n"/>
      <c r="B57" s="18" t="n"/>
      <c r="C57" s="18" t="n"/>
      <c r="D57" s="30" t="n"/>
      <c r="E57" s="18" t="n"/>
      <c r="F57" s="5" t="n"/>
      <c r="G57">
        <f>IF($A57="","",$A57&amp;"|"&amp;COUNTIF($A$2:$A57,$A57))</f>
        <v/>
      </c>
    </row>
    <row r="58">
      <c r="A58" s="18" t="n"/>
      <c r="B58" s="18" t="n"/>
      <c r="C58" s="18" t="n"/>
      <c r="D58" s="30" t="n"/>
      <c r="E58" s="18" t="n"/>
      <c r="F58" s="5" t="n"/>
      <c r="G58">
        <f>IF($A58="","",$A58&amp;"|"&amp;COUNTIF($A$2:$A58,$A58))</f>
        <v/>
      </c>
    </row>
    <row r="59">
      <c r="A59" s="18" t="n"/>
      <c r="B59" s="18" t="n"/>
      <c r="C59" s="18" t="n"/>
      <c r="D59" s="30" t="n"/>
      <c r="E59" s="18" t="n"/>
      <c r="F59" s="5" t="n"/>
      <c r="G59">
        <f>IF($A59="","",$A59&amp;"|"&amp;COUNTIF($A$2:$A59,$A59))</f>
        <v/>
      </c>
    </row>
    <row r="60">
      <c r="A60" s="18" t="n"/>
      <c r="B60" s="18" t="n"/>
      <c r="C60" s="18" t="n"/>
      <c r="D60" s="30" t="n"/>
      <c r="E60" s="18" t="n"/>
      <c r="F60" s="5" t="n"/>
      <c r="G60">
        <f>IF($A60="","",$A60&amp;"|"&amp;COUNTIF($A$2:$A60,$A60))</f>
        <v/>
      </c>
    </row>
    <row r="61">
      <c r="A61" s="18" t="n"/>
      <c r="B61" s="18" t="n"/>
      <c r="C61" s="18" t="n"/>
      <c r="D61" s="30" t="n"/>
      <c r="E61" s="18" t="n"/>
      <c r="F61" s="5" t="n"/>
      <c r="G61">
        <f>IF($A61="","",$A61&amp;"|"&amp;COUNTIF($A$2:$A61,$A61))</f>
        <v/>
      </c>
    </row>
    <row r="62">
      <c r="A62" s="18" t="n"/>
      <c r="B62" s="18" t="n"/>
      <c r="C62" s="18" t="n"/>
      <c r="D62" s="30" t="n"/>
      <c r="E62" s="18" t="n"/>
      <c r="F62" s="5" t="n"/>
      <c r="G62">
        <f>IF($A62="","",$A62&amp;"|"&amp;COUNTIF($A$2:$A62,$A62))</f>
        <v/>
      </c>
    </row>
    <row r="63">
      <c r="A63" s="18" t="n"/>
      <c r="B63" s="18" t="n"/>
      <c r="C63" s="18" t="n"/>
      <c r="D63" s="30" t="n"/>
      <c r="E63" s="18" t="n"/>
      <c r="F63" s="5" t="n"/>
      <c r="G63">
        <f>IF($A63="","",$A63&amp;"|"&amp;COUNTIF($A$2:$A63,$A63))</f>
        <v/>
      </c>
    </row>
    <row r="64">
      <c r="A64" s="18" t="n"/>
      <c r="B64" s="18" t="n"/>
      <c r="C64" s="18" t="n"/>
      <c r="D64" s="30" t="n"/>
      <c r="E64" s="18" t="n"/>
      <c r="F64" s="5" t="n"/>
      <c r="G64">
        <f>IF($A64="","",$A64&amp;"|"&amp;COUNTIF($A$2:$A64,$A64))</f>
        <v/>
      </c>
    </row>
    <row r="65">
      <c r="A65" s="18" t="n"/>
      <c r="B65" s="18" t="n"/>
      <c r="C65" s="18" t="n"/>
      <c r="D65" s="30" t="n"/>
      <c r="E65" s="18" t="n"/>
      <c r="F65" s="5" t="n"/>
      <c r="G65">
        <f>IF($A65="","",$A65&amp;"|"&amp;COUNTIF($A$2:$A65,$A65))</f>
        <v/>
      </c>
    </row>
    <row r="66">
      <c r="A66" s="18" t="n"/>
      <c r="B66" s="18" t="n"/>
      <c r="C66" s="18" t="n"/>
      <c r="D66" s="30" t="n"/>
      <c r="E66" s="18" t="n"/>
      <c r="F66" s="5" t="n"/>
      <c r="G66">
        <f>IF($A66="","",$A66&amp;"|"&amp;COUNTIF($A$2:$A66,$A66))</f>
        <v/>
      </c>
    </row>
    <row r="67">
      <c r="A67" s="18" t="n"/>
      <c r="B67" s="18" t="n"/>
      <c r="C67" s="18" t="n"/>
      <c r="D67" s="30" t="n"/>
      <c r="E67" s="18" t="n"/>
      <c r="F67" s="5" t="n"/>
      <c r="G67">
        <f>IF($A67="","",$A67&amp;"|"&amp;COUNTIF($A$2:$A67,$A67))</f>
        <v/>
      </c>
    </row>
    <row r="68">
      <c r="A68" s="18" t="n"/>
      <c r="B68" s="18" t="n"/>
      <c r="C68" s="18" t="n"/>
      <c r="D68" s="30" t="n"/>
      <c r="E68" s="18" t="n"/>
      <c r="F68" s="5" t="n"/>
      <c r="G68">
        <f>IF($A68="","",$A68&amp;"|"&amp;COUNTIF($A$2:$A68,$A68))</f>
        <v/>
      </c>
    </row>
    <row r="69">
      <c r="A69" s="18" t="n"/>
      <c r="B69" s="18" t="n"/>
      <c r="C69" s="18" t="n"/>
      <c r="D69" s="30" t="n"/>
      <c r="E69" s="18" t="n"/>
      <c r="F69" s="5" t="n"/>
      <c r="G69">
        <f>IF($A69="","",$A69&amp;"|"&amp;COUNTIF($A$2:$A69,$A69))</f>
        <v/>
      </c>
    </row>
    <row r="70">
      <c r="A70" s="18" t="n"/>
      <c r="B70" s="18" t="n"/>
      <c r="C70" s="18" t="n"/>
      <c r="D70" s="30" t="n"/>
      <c r="E70" s="18" t="n"/>
      <c r="F70" s="5" t="n"/>
      <c r="G70">
        <f>IF($A70="","",$A70&amp;"|"&amp;COUNTIF($A$2:$A70,$A70))</f>
        <v/>
      </c>
    </row>
    <row r="71">
      <c r="A71" s="18" t="n"/>
      <c r="B71" s="18" t="n"/>
      <c r="C71" s="18" t="n"/>
      <c r="D71" s="30" t="n"/>
      <c r="E71" s="18" t="n"/>
      <c r="F71" s="5" t="n"/>
      <c r="G71">
        <f>IF($A71="","",$A71&amp;"|"&amp;COUNTIF($A$2:$A71,$A71))</f>
        <v/>
      </c>
    </row>
    <row r="72">
      <c r="A72" s="18" t="n"/>
      <c r="B72" s="18" t="n"/>
      <c r="C72" s="18" t="n"/>
      <c r="D72" s="30" t="n"/>
      <c r="E72" s="18" t="n"/>
      <c r="F72" s="5" t="n"/>
      <c r="G72">
        <f>IF($A72="","",$A72&amp;"|"&amp;COUNTIF($A$2:$A72,$A72))</f>
        <v/>
      </c>
    </row>
    <row r="73">
      <c r="A73" s="18" t="n"/>
      <c r="B73" s="18" t="n"/>
      <c r="C73" s="18" t="n"/>
      <c r="D73" s="30" t="n"/>
      <c r="E73" s="18" t="n"/>
      <c r="F73" s="5" t="n"/>
      <c r="G73">
        <f>IF($A73="","",$A73&amp;"|"&amp;COUNTIF($A$2:$A73,$A73))</f>
        <v/>
      </c>
    </row>
    <row r="74">
      <c r="A74" s="18" t="n"/>
      <c r="B74" s="18" t="n"/>
      <c r="C74" s="18" t="n"/>
      <c r="D74" s="30" t="n"/>
      <c r="E74" s="18" t="n"/>
      <c r="F74" s="5" t="n"/>
      <c r="G74">
        <f>IF($A74="","",$A74&amp;"|"&amp;COUNTIF($A$2:$A74,$A74))</f>
        <v/>
      </c>
    </row>
    <row r="75">
      <c r="A75" s="18" t="n"/>
      <c r="B75" s="18" t="n"/>
      <c r="C75" s="18" t="n"/>
      <c r="D75" s="30" t="n"/>
      <c r="E75" s="18" t="n"/>
      <c r="F75" s="5" t="n"/>
      <c r="G75">
        <f>IF($A75="","",$A75&amp;"|"&amp;COUNTIF($A$2:$A75,$A75))</f>
        <v/>
      </c>
    </row>
    <row r="76">
      <c r="A76" s="18" t="n"/>
      <c r="B76" s="18" t="n"/>
      <c r="C76" s="18" t="n"/>
      <c r="D76" s="30" t="n"/>
      <c r="E76" s="18" t="n"/>
      <c r="F76" s="5" t="n"/>
      <c r="G76">
        <f>IF($A76="","",$A76&amp;"|"&amp;COUNTIF($A$2:$A76,$A76))</f>
        <v/>
      </c>
    </row>
    <row r="77">
      <c r="A77" s="18" t="n"/>
      <c r="B77" s="18" t="n"/>
      <c r="C77" s="18" t="n"/>
      <c r="D77" s="30" t="n"/>
      <c r="E77" s="18" t="n"/>
      <c r="F77" s="5" t="n"/>
      <c r="G77">
        <f>IF($A77="","",$A77&amp;"|"&amp;COUNTIF($A$2:$A77,$A77))</f>
        <v/>
      </c>
    </row>
    <row r="78">
      <c r="A78" s="18" t="n"/>
      <c r="B78" s="18" t="n"/>
      <c r="C78" s="18" t="n"/>
      <c r="D78" s="30" t="n"/>
      <c r="E78" s="18" t="n"/>
      <c r="F78" s="5" t="n"/>
      <c r="G78">
        <f>IF($A78="","",$A78&amp;"|"&amp;COUNTIF($A$2:$A78,$A78))</f>
        <v/>
      </c>
    </row>
    <row r="79">
      <c r="A79" s="18" t="n"/>
      <c r="B79" s="18" t="n"/>
      <c r="C79" s="18" t="n"/>
      <c r="D79" s="30" t="n"/>
      <c r="E79" s="18" t="n"/>
      <c r="F79" s="5" t="n"/>
      <c r="G79">
        <f>IF($A79="","",$A79&amp;"|"&amp;COUNTIF($A$2:$A79,$A79))</f>
        <v/>
      </c>
    </row>
    <row r="80">
      <c r="A80" s="18" t="n"/>
      <c r="B80" s="18" t="n"/>
      <c r="C80" s="18" t="n"/>
      <c r="D80" s="30" t="n"/>
      <c r="E80" s="18" t="n"/>
      <c r="F80" s="5" t="n"/>
      <c r="G80">
        <f>IF($A80="","",$A80&amp;"|"&amp;COUNTIF($A$2:$A80,$A80))</f>
        <v/>
      </c>
    </row>
    <row r="81">
      <c r="A81" s="18" t="n"/>
      <c r="B81" s="18" t="n"/>
      <c r="C81" s="18" t="n"/>
      <c r="D81" s="30" t="n"/>
      <c r="E81" s="18" t="n"/>
      <c r="F81" s="5" t="n"/>
      <c r="G81">
        <f>IF($A81="","",$A81&amp;"|"&amp;COUNTIF($A$2:$A81,$A81))</f>
        <v/>
      </c>
    </row>
    <row r="82">
      <c r="A82" s="18" t="n"/>
      <c r="B82" s="18" t="n"/>
      <c r="C82" s="18" t="n"/>
      <c r="D82" s="30" t="n"/>
      <c r="E82" s="18" t="n"/>
      <c r="F82" s="5" t="n"/>
      <c r="G82">
        <f>IF($A82="","",$A82&amp;"|"&amp;COUNTIF($A$2:$A82,$A82))</f>
        <v/>
      </c>
    </row>
    <row r="83">
      <c r="A83" s="18" t="n"/>
      <c r="B83" s="18" t="n"/>
      <c r="C83" s="18" t="n"/>
      <c r="D83" s="30" t="n"/>
      <c r="E83" s="18" t="n"/>
      <c r="F83" s="5" t="n"/>
      <c r="G83">
        <f>IF($A83="","",$A83&amp;"|"&amp;COUNTIF($A$2:$A83,$A83))</f>
        <v/>
      </c>
    </row>
    <row r="84">
      <c r="A84" s="18" t="n"/>
      <c r="B84" s="18" t="n"/>
      <c r="C84" s="18" t="n"/>
      <c r="D84" s="30" t="n"/>
      <c r="E84" s="18" t="n"/>
      <c r="F84" s="5" t="n"/>
      <c r="G84">
        <f>IF($A84="","",$A84&amp;"|"&amp;COUNTIF($A$2:$A84,$A84))</f>
        <v/>
      </c>
    </row>
    <row r="85">
      <c r="A85" s="18" t="n"/>
      <c r="B85" s="18" t="n"/>
      <c r="C85" s="18" t="n"/>
      <c r="D85" s="30" t="n"/>
      <c r="E85" s="18" t="n"/>
      <c r="F85" s="5" t="n"/>
      <c r="G85">
        <f>IF($A85="","",$A85&amp;"|"&amp;COUNTIF($A$2:$A85,$A85))</f>
        <v/>
      </c>
    </row>
    <row r="86">
      <c r="A86" s="18" t="n"/>
      <c r="B86" s="18" t="n"/>
      <c r="C86" s="18" t="n"/>
      <c r="D86" s="30" t="n"/>
      <c r="E86" s="18" t="n"/>
      <c r="F86" s="5" t="n"/>
      <c r="G86">
        <f>IF($A86="","",$A86&amp;"|"&amp;COUNTIF($A$2:$A86,$A86))</f>
        <v/>
      </c>
    </row>
    <row r="87">
      <c r="A87" s="18" t="n"/>
      <c r="B87" s="18" t="n"/>
      <c r="C87" s="18" t="n"/>
      <c r="D87" s="30" t="n"/>
      <c r="E87" s="18" t="n"/>
      <c r="F87" s="5" t="n"/>
      <c r="G87">
        <f>IF($A87="","",$A87&amp;"|"&amp;COUNTIF($A$2:$A87,$A87))</f>
        <v/>
      </c>
    </row>
    <row r="88">
      <c r="A88" s="18" t="n"/>
      <c r="B88" s="18" t="n"/>
      <c r="C88" s="18" t="n"/>
      <c r="D88" s="30" t="n"/>
      <c r="E88" s="18" t="n"/>
      <c r="F88" s="5" t="n"/>
      <c r="G88">
        <f>IF($A88="","",$A88&amp;"|"&amp;COUNTIF($A$2:$A88,$A88))</f>
        <v/>
      </c>
    </row>
    <row r="89">
      <c r="A89" s="18" t="n"/>
      <c r="B89" s="18" t="n"/>
      <c r="C89" s="18" t="n"/>
      <c r="D89" s="30" t="n"/>
      <c r="E89" s="18" t="n"/>
      <c r="F89" s="5" t="n"/>
      <c r="G89">
        <f>IF($A89="","",$A89&amp;"|"&amp;COUNTIF($A$2:$A89,$A89))</f>
        <v/>
      </c>
    </row>
    <row r="90">
      <c r="A90" s="18" t="n"/>
      <c r="B90" s="18" t="n"/>
      <c r="C90" s="18" t="n"/>
      <c r="D90" s="30" t="n"/>
      <c r="E90" s="18" t="n"/>
      <c r="F90" s="5" t="n"/>
      <c r="G90">
        <f>IF($A90="","",$A90&amp;"|"&amp;COUNTIF($A$2:$A90,$A90))</f>
        <v/>
      </c>
    </row>
    <row r="91">
      <c r="A91" s="18" t="n"/>
      <c r="B91" s="18" t="n"/>
      <c r="C91" s="18" t="n"/>
      <c r="D91" s="30" t="n"/>
      <c r="E91" s="18" t="n"/>
      <c r="F91" s="5" t="n"/>
      <c r="G91">
        <f>IF($A91="","",$A91&amp;"|"&amp;COUNTIF($A$2:$A91,$A91))</f>
        <v/>
      </c>
    </row>
    <row r="92">
      <c r="A92" s="18" t="n"/>
      <c r="B92" s="18" t="n"/>
      <c r="C92" s="18" t="n"/>
      <c r="D92" s="30" t="n"/>
      <c r="E92" s="18" t="n"/>
      <c r="F92" s="5" t="n"/>
      <c r="G92">
        <f>IF($A92="","",$A92&amp;"|"&amp;COUNTIF($A$2:$A92,$A92))</f>
        <v/>
      </c>
    </row>
    <row r="93">
      <c r="A93" s="18" t="n"/>
      <c r="B93" s="18" t="n"/>
      <c r="C93" s="18" t="n"/>
      <c r="D93" s="30" t="n"/>
      <c r="E93" s="18" t="n"/>
      <c r="F93" s="5" t="n"/>
      <c r="G93">
        <f>IF($A93="","",$A93&amp;"|"&amp;COUNTIF($A$2:$A93,$A93))</f>
        <v/>
      </c>
    </row>
    <row r="94">
      <c r="A94" s="18" t="n"/>
      <c r="B94" s="18" t="n"/>
      <c r="C94" s="18" t="n"/>
      <c r="D94" s="30" t="n"/>
      <c r="E94" s="18" t="n"/>
      <c r="F94" s="5" t="n"/>
      <c r="G94">
        <f>IF($A94="","",$A94&amp;"|"&amp;COUNTIF($A$2:$A94,$A94))</f>
        <v/>
      </c>
    </row>
    <row r="95">
      <c r="A95" s="18" t="n"/>
      <c r="B95" s="18" t="n"/>
      <c r="C95" s="18" t="n"/>
      <c r="D95" s="30" t="n"/>
      <c r="E95" s="18" t="n"/>
      <c r="F95" s="5" t="n"/>
      <c r="G95">
        <f>IF($A95="","",$A95&amp;"|"&amp;COUNTIF($A$2:$A95,$A95))</f>
        <v/>
      </c>
    </row>
    <row r="96">
      <c r="A96" s="18" t="n"/>
      <c r="B96" s="18" t="n"/>
      <c r="C96" s="18" t="n"/>
      <c r="D96" s="30" t="n"/>
      <c r="E96" s="18" t="n"/>
      <c r="F96" s="5" t="n"/>
      <c r="G96">
        <f>IF($A96="","",$A96&amp;"|"&amp;COUNTIF($A$2:$A96,$A96))</f>
        <v/>
      </c>
    </row>
    <row r="97">
      <c r="A97" s="18" t="n"/>
      <c r="B97" s="18" t="n"/>
      <c r="C97" s="18" t="n"/>
      <c r="D97" s="30" t="n"/>
      <c r="E97" s="18" t="n"/>
      <c r="F97" s="5" t="n"/>
      <c r="G97">
        <f>IF($A97="","",$A97&amp;"|"&amp;COUNTIF($A$2:$A97,$A97))</f>
        <v/>
      </c>
    </row>
    <row r="98">
      <c r="A98" s="18" t="n"/>
      <c r="B98" s="18" t="n"/>
      <c r="C98" s="18" t="n"/>
      <c r="D98" s="30" t="n"/>
      <c r="E98" s="18" t="n"/>
      <c r="F98" s="5" t="n"/>
      <c r="G98">
        <f>IF($A98="","",$A98&amp;"|"&amp;COUNTIF($A$2:$A98,$A98))</f>
        <v/>
      </c>
    </row>
    <row r="99">
      <c r="A99" s="18" t="n"/>
      <c r="B99" s="18" t="n"/>
      <c r="C99" s="18" t="n"/>
      <c r="D99" s="30" t="n"/>
      <c r="E99" s="18" t="n"/>
      <c r="F99" s="5" t="n"/>
      <c r="G99">
        <f>IF($A99="","",$A99&amp;"|"&amp;COUNTIF($A$2:$A99,$A99))</f>
        <v/>
      </c>
    </row>
    <row r="100">
      <c r="A100" s="18" t="n"/>
      <c r="B100" s="18" t="n"/>
      <c r="C100" s="18" t="n"/>
      <c r="D100" s="30" t="n"/>
      <c r="E100" s="18" t="n"/>
      <c r="F100" s="5" t="n"/>
      <c r="G100">
        <f>IF($A100="","",$A100&amp;"|"&amp;COUNTIF($A$2:$A100,$A100))</f>
        <v/>
      </c>
    </row>
    <row r="101">
      <c r="A101" s="18" t="n"/>
      <c r="B101" s="18" t="n"/>
      <c r="C101" s="18" t="n"/>
      <c r="D101" s="30" t="n"/>
      <c r="E101" s="18" t="n"/>
      <c r="F101" s="5" t="n"/>
      <c r="G101">
        <f>IF($A101="","",$A101&amp;"|"&amp;COUNTIF($A$2:$A101,$A101))</f>
        <v/>
      </c>
    </row>
    <row r="102">
      <c r="A102" s="18" t="n"/>
      <c r="B102" s="18" t="n"/>
      <c r="C102" s="18" t="n"/>
      <c r="D102" s="30" t="n"/>
      <c r="E102" s="18" t="n"/>
      <c r="F102" s="5" t="n"/>
      <c r="G102">
        <f>IF($A102="","",$A102&amp;"|"&amp;COUNTIF($A$2:$A102,$A102))</f>
        <v/>
      </c>
    </row>
    <row r="103">
      <c r="A103" s="18" t="n"/>
      <c r="B103" s="18" t="n"/>
      <c r="C103" s="18" t="n"/>
      <c r="D103" s="30" t="n"/>
      <c r="E103" s="18" t="n"/>
      <c r="F103" s="5" t="n"/>
      <c r="G103">
        <f>IF($A103="","",$A103&amp;"|"&amp;COUNTIF($A$2:$A103,$A103))</f>
        <v/>
      </c>
    </row>
    <row r="104">
      <c r="A104" s="18" t="n"/>
      <c r="B104" s="18" t="n"/>
      <c r="C104" s="18" t="n"/>
      <c r="D104" s="30" t="n"/>
      <c r="E104" s="18" t="n"/>
      <c r="F104" s="5" t="n"/>
      <c r="G104">
        <f>IF($A104="","",$A104&amp;"|"&amp;COUNTIF($A$2:$A104,$A104))</f>
        <v/>
      </c>
    </row>
    <row r="105">
      <c r="A105" s="18" t="n"/>
      <c r="B105" s="18" t="n"/>
      <c r="C105" s="18" t="n"/>
      <c r="D105" s="30" t="n"/>
      <c r="E105" s="18" t="n"/>
      <c r="F105" s="5" t="n"/>
      <c r="G105">
        <f>IF($A105="","",$A105&amp;"|"&amp;COUNTIF($A$2:$A105,$A105))</f>
        <v/>
      </c>
    </row>
    <row r="106">
      <c r="A106" s="18" t="n"/>
      <c r="B106" s="18" t="n"/>
      <c r="C106" s="18" t="n"/>
      <c r="D106" s="30" t="n"/>
      <c r="E106" s="18" t="n"/>
      <c r="F106" s="5" t="n"/>
      <c r="G106">
        <f>IF($A106="","",$A106&amp;"|"&amp;COUNTIF($A$2:$A106,$A106))</f>
        <v/>
      </c>
    </row>
    <row r="107">
      <c r="A107" s="18" t="n"/>
      <c r="B107" s="18" t="n"/>
      <c r="C107" s="18" t="n"/>
      <c r="D107" s="30" t="n"/>
      <c r="E107" s="18" t="n"/>
      <c r="F107" s="5" t="n"/>
      <c r="G107">
        <f>IF($A107="","",$A107&amp;"|"&amp;COUNTIF($A$2:$A107,$A107))</f>
        <v/>
      </c>
    </row>
    <row r="108">
      <c r="A108" s="18" t="n"/>
      <c r="B108" s="18" t="n"/>
      <c r="C108" s="18" t="n"/>
      <c r="D108" s="30" t="n"/>
      <c r="E108" s="18" t="n"/>
      <c r="F108" s="5" t="n"/>
      <c r="G108">
        <f>IF($A108="","",$A108&amp;"|"&amp;COUNTIF($A$2:$A108,$A108))</f>
        <v/>
      </c>
    </row>
    <row r="109">
      <c r="A109" s="18" t="n"/>
      <c r="B109" s="18" t="n"/>
      <c r="C109" s="18" t="n"/>
      <c r="D109" s="30" t="n"/>
      <c r="E109" s="18" t="n"/>
      <c r="F109" s="5" t="n"/>
      <c r="G109">
        <f>IF($A109="","",$A109&amp;"|"&amp;COUNTIF($A$2:$A109,$A109))</f>
        <v/>
      </c>
    </row>
    <row r="110">
      <c r="A110" s="18" t="n"/>
      <c r="B110" s="18" t="n"/>
      <c r="C110" s="18" t="n"/>
      <c r="D110" s="30" t="n"/>
      <c r="E110" s="18" t="n"/>
      <c r="F110" s="5" t="n"/>
      <c r="G110">
        <f>IF($A110="","",$A110&amp;"|"&amp;COUNTIF($A$2:$A110,$A110))</f>
        <v/>
      </c>
    </row>
    <row r="111">
      <c r="A111" s="18" t="n"/>
      <c r="B111" s="18" t="n"/>
      <c r="C111" s="18" t="n"/>
      <c r="D111" s="30" t="n"/>
      <c r="E111" s="18" t="n"/>
      <c r="F111" s="5" t="n"/>
      <c r="G111">
        <f>IF($A111="","",$A111&amp;"|"&amp;COUNTIF($A$2:$A111,$A111))</f>
        <v/>
      </c>
    </row>
    <row r="112">
      <c r="A112" s="18" t="n"/>
      <c r="B112" s="18" t="n"/>
      <c r="C112" s="18" t="n"/>
      <c r="D112" s="30" t="n"/>
      <c r="E112" s="18" t="n"/>
      <c r="F112" s="5" t="n"/>
      <c r="G112">
        <f>IF($A112="","",$A112&amp;"|"&amp;COUNTIF($A$2:$A112,$A112))</f>
        <v/>
      </c>
    </row>
    <row r="113">
      <c r="A113" s="18" t="n"/>
      <c r="B113" s="18" t="n"/>
      <c r="C113" s="18" t="n"/>
      <c r="D113" s="30" t="n"/>
      <c r="E113" s="18" t="n"/>
      <c r="F113" s="5" t="n"/>
      <c r="G113">
        <f>IF($A113="","",$A113&amp;"|"&amp;COUNTIF($A$2:$A113,$A113))</f>
        <v/>
      </c>
    </row>
    <row r="114">
      <c r="A114" s="18" t="n"/>
      <c r="B114" s="18" t="n"/>
      <c r="C114" s="18" t="n"/>
      <c r="D114" s="30" t="n"/>
      <c r="E114" s="18" t="n"/>
      <c r="F114" s="5" t="n"/>
      <c r="G114">
        <f>IF($A114="","",$A114&amp;"|"&amp;COUNTIF($A$2:$A114,$A114))</f>
        <v/>
      </c>
    </row>
    <row r="115">
      <c r="A115" s="18" t="n"/>
      <c r="B115" s="18" t="n"/>
      <c r="C115" s="18" t="n"/>
      <c r="D115" s="30" t="n"/>
      <c r="E115" s="18" t="n"/>
      <c r="F115" s="5" t="n"/>
      <c r="G115">
        <f>IF($A115="","",$A115&amp;"|"&amp;COUNTIF($A$2:$A115,$A115))</f>
        <v/>
      </c>
    </row>
    <row r="116">
      <c r="A116" s="18" t="n"/>
      <c r="B116" s="18" t="n"/>
      <c r="C116" s="18" t="n"/>
      <c r="D116" s="30" t="n"/>
      <c r="E116" s="18" t="n"/>
      <c r="F116" s="5" t="n"/>
      <c r="G116">
        <f>IF($A116="","",$A116&amp;"|"&amp;COUNTIF($A$2:$A116,$A116))</f>
        <v/>
      </c>
    </row>
    <row r="117">
      <c r="A117" s="18" t="n"/>
      <c r="B117" s="18" t="n"/>
      <c r="C117" s="18" t="n"/>
      <c r="D117" s="30" t="n"/>
      <c r="E117" s="18" t="n"/>
      <c r="F117" s="5" t="n"/>
      <c r="G117">
        <f>IF($A117="","",$A117&amp;"|"&amp;COUNTIF($A$2:$A117,$A117))</f>
        <v/>
      </c>
    </row>
    <row r="118">
      <c r="A118" s="18" t="n"/>
      <c r="B118" s="18" t="n"/>
      <c r="C118" s="18" t="n"/>
      <c r="D118" s="30" t="n"/>
      <c r="E118" s="18" t="n"/>
      <c r="F118" s="5" t="n"/>
      <c r="G118">
        <f>IF($A118="","",$A118&amp;"|"&amp;COUNTIF($A$2:$A118,$A118))</f>
        <v/>
      </c>
    </row>
    <row r="119">
      <c r="A119" s="18" t="n"/>
      <c r="B119" s="18" t="n"/>
      <c r="C119" s="18" t="n"/>
      <c r="D119" s="30" t="n"/>
      <c r="E119" s="18" t="n"/>
      <c r="F119" s="5" t="n"/>
      <c r="G119">
        <f>IF($A119="","",$A119&amp;"|"&amp;COUNTIF($A$2:$A119,$A119))</f>
        <v/>
      </c>
    </row>
    <row r="120">
      <c r="A120" s="18" t="n"/>
      <c r="B120" s="18" t="n"/>
      <c r="C120" s="18" t="n"/>
      <c r="D120" s="30" t="n"/>
      <c r="E120" s="18" t="n"/>
      <c r="F120" s="5" t="n"/>
      <c r="G120">
        <f>IF($A120="","",$A120&amp;"|"&amp;COUNTIF($A$2:$A120,$A120))</f>
        <v/>
      </c>
    </row>
    <row r="121">
      <c r="A121" s="18" t="n"/>
      <c r="B121" s="18" t="n"/>
      <c r="C121" s="18" t="n"/>
      <c r="D121" s="30" t="n"/>
      <c r="E121" s="18" t="n"/>
      <c r="F121" s="5" t="n"/>
      <c r="G121">
        <f>IF($A121="","",$A121&amp;"|"&amp;COUNTIF($A$2:$A121,$A121))</f>
        <v/>
      </c>
    </row>
    <row r="122">
      <c r="A122" s="18" t="n"/>
      <c r="B122" s="18" t="n"/>
      <c r="C122" s="18" t="n"/>
      <c r="D122" s="30" t="n"/>
      <c r="E122" s="18" t="n"/>
      <c r="F122" s="5" t="n"/>
      <c r="G122">
        <f>IF($A122="","",$A122&amp;"|"&amp;COUNTIF($A$2:$A122,$A122))</f>
        <v/>
      </c>
    </row>
    <row r="123">
      <c r="A123" s="18" t="n"/>
      <c r="B123" s="18" t="n"/>
      <c r="C123" s="18" t="n"/>
      <c r="D123" s="30" t="n"/>
      <c r="E123" s="18" t="n"/>
      <c r="F123" s="5" t="n"/>
      <c r="G123">
        <f>IF($A123="","",$A123&amp;"|"&amp;COUNTIF($A$2:$A123,$A123))</f>
        <v/>
      </c>
    </row>
    <row r="124">
      <c r="A124" s="18" t="n"/>
      <c r="B124" s="18" t="n"/>
      <c r="C124" s="18" t="n"/>
      <c r="D124" s="30" t="n"/>
      <c r="E124" s="18" t="n"/>
      <c r="F124" s="5" t="n"/>
      <c r="G124">
        <f>IF($A124="","",$A124&amp;"|"&amp;COUNTIF($A$2:$A124,$A124))</f>
        <v/>
      </c>
    </row>
    <row r="125">
      <c r="A125" s="18" t="n"/>
      <c r="B125" s="18" t="n"/>
      <c r="C125" s="18" t="n"/>
      <c r="D125" s="30" t="n"/>
      <c r="E125" s="18" t="n"/>
      <c r="F125" s="5" t="n"/>
      <c r="G125">
        <f>IF($A125="","",$A125&amp;"|"&amp;COUNTIF($A$2:$A125,$A125))</f>
        <v/>
      </c>
    </row>
    <row r="126">
      <c r="A126" s="18" t="n"/>
      <c r="B126" s="18" t="n"/>
      <c r="C126" s="18" t="n"/>
      <c r="D126" s="30" t="n"/>
      <c r="E126" s="18" t="n"/>
      <c r="F126" s="5" t="n"/>
      <c r="G126">
        <f>IF($A126="","",$A126&amp;"|"&amp;COUNTIF($A$2:$A126,$A126))</f>
        <v/>
      </c>
    </row>
    <row r="127">
      <c r="A127" s="18" t="n"/>
      <c r="B127" s="18" t="n"/>
      <c r="C127" s="18" t="n"/>
      <c r="D127" s="30" t="n"/>
      <c r="E127" s="18" t="n"/>
      <c r="F127" s="5" t="n"/>
      <c r="G127">
        <f>IF($A127="","",$A127&amp;"|"&amp;COUNTIF($A$2:$A127,$A127))</f>
        <v/>
      </c>
    </row>
    <row r="128">
      <c r="A128" s="18" t="n"/>
      <c r="B128" s="18" t="n"/>
      <c r="C128" s="18" t="n"/>
      <c r="D128" s="30" t="n"/>
      <c r="E128" s="18" t="n"/>
      <c r="F128" s="5" t="n"/>
      <c r="G128">
        <f>IF($A128="","",$A128&amp;"|"&amp;COUNTIF($A$2:$A128,$A128))</f>
        <v/>
      </c>
    </row>
    <row r="129">
      <c r="A129" s="18" t="n"/>
      <c r="B129" s="18" t="n"/>
      <c r="C129" s="18" t="n"/>
      <c r="D129" s="30" t="n"/>
      <c r="E129" s="18" t="n"/>
      <c r="F129" s="5" t="n"/>
      <c r="G129">
        <f>IF($A129="","",$A129&amp;"|"&amp;COUNTIF($A$2:$A129,$A129))</f>
        <v/>
      </c>
    </row>
    <row r="130">
      <c r="A130" s="18" t="n"/>
      <c r="B130" s="18" t="n"/>
      <c r="C130" s="18" t="n"/>
      <c r="D130" s="30" t="n"/>
      <c r="E130" s="18" t="n"/>
      <c r="F130" s="5" t="n"/>
      <c r="G130">
        <f>IF($A130="","",$A130&amp;"|"&amp;COUNTIF($A$2:$A130,$A130))</f>
        <v/>
      </c>
    </row>
    <row r="131">
      <c r="A131" s="18" t="n"/>
      <c r="B131" s="18" t="n"/>
      <c r="C131" s="18" t="n"/>
      <c r="D131" s="30" t="n"/>
      <c r="E131" s="18" t="n"/>
      <c r="F131" s="5" t="n"/>
      <c r="G131">
        <f>IF($A131="","",$A131&amp;"|"&amp;COUNTIF($A$2:$A131,$A131))</f>
        <v/>
      </c>
    </row>
    <row r="132">
      <c r="A132" s="18" t="n"/>
      <c r="B132" s="18" t="n"/>
      <c r="C132" s="18" t="n"/>
      <c r="D132" s="30" t="n"/>
      <c r="E132" s="18" t="n"/>
      <c r="F132" s="5" t="n"/>
      <c r="G132">
        <f>IF($A132="","",$A132&amp;"|"&amp;COUNTIF($A$2:$A132,$A132))</f>
        <v/>
      </c>
    </row>
    <row r="133">
      <c r="A133" s="18" t="n"/>
      <c r="B133" s="18" t="n"/>
      <c r="C133" s="18" t="n"/>
      <c r="D133" s="30" t="n"/>
      <c r="E133" s="18" t="n"/>
      <c r="F133" s="5" t="n"/>
      <c r="G133">
        <f>IF($A133="","",$A133&amp;"|"&amp;COUNTIF($A$2:$A133,$A133))</f>
        <v/>
      </c>
    </row>
    <row r="134">
      <c r="A134" s="18" t="n"/>
      <c r="B134" s="18" t="n"/>
      <c r="C134" s="18" t="n"/>
      <c r="D134" s="30" t="n"/>
      <c r="E134" s="18" t="n"/>
      <c r="F134" s="5" t="n"/>
      <c r="G134">
        <f>IF($A134="","",$A134&amp;"|"&amp;COUNTIF($A$2:$A134,$A134))</f>
        <v/>
      </c>
    </row>
    <row r="135">
      <c r="A135" s="18" t="n"/>
      <c r="B135" s="18" t="n"/>
      <c r="C135" s="18" t="n"/>
      <c r="D135" s="30" t="n"/>
      <c r="E135" s="18" t="n"/>
      <c r="F135" s="5" t="n"/>
      <c r="G135">
        <f>IF($A135="","",$A135&amp;"|"&amp;COUNTIF($A$2:$A135,$A135))</f>
        <v/>
      </c>
    </row>
    <row r="136">
      <c r="A136" s="18" t="n"/>
      <c r="B136" s="18" t="n"/>
      <c r="C136" s="18" t="n"/>
      <c r="D136" s="30" t="n"/>
      <c r="E136" s="18" t="n"/>
      <c r="F136" s="5" t="n"/>
      <c r="G136">
        <f>IF($A136="","",$A136&amp;"|"&amp;COUNTIF($A$2:$A136,$A136))</f>
        <v/>
      </c>
    </row>
    <row r="137">
      <c r="A137" s="18" t="n"/>
      <c r="B137" s="18" t="n"/>
      <c r="C137" s="18" t="n"/>
      <c r="D137" s="30" t="n"/>
      <c r="E137" s="18" t="n"/>
      <c r="F137" s="5" t="n"/>
      <c r="G137">
        <f>IF($A137="","",$A137&amp;"|"&amp;COUNTIF($A$2:$A137,$A137))</f>
        <v/>
      </c>
    </row>
    <row r="138">
      <c r="A138" s="18" t="n"/>
      <c r="B138" s="18" t="n"/>
      <c r="C138" s="18" t="n"/>
      <c r="D138" s="30" t="n"/>
      <c r="E138" s="18" t="n"/>
      <c r="F138" s="5" t="n"/>
      <c r="G138">
        <f>IF($A138="","",$A138&amp;"|"&amp;COUNTIF($A$2:$A138,$A138))</f>
        <v/>
      </c>
    </row>
    <row r="139">
      <c r="A139" s="18" t="n"/>
      <c r="B139" s="18" t="n"/>
      <c r="C139" s="18" t="n"/>
      <c r="D139" s="30" t="n"/>
      <c r="E139" s="18" t="n"/>
      <c r="F139" s="5" t="n"/>
      <c r="G139">
        <f>IF($A139="","",$A139&amp;"|"&amp;COUNTIF($A$2:$A139,$A139))</f>
        <v/>
      </c>
    </row>
    <row r="140">
      <c r="A140" s="18" t="n"/>
      <c r="B140" s="18" t="n"/>
      <c r="C140" s="18" t="n"/>
      <c r="D140" s="30" t="n"/>
      <c r="E140" s="18" t="n"/>
      <c r="F140" s="5" t="n"/>
      <c r="G140">
        <f>IF($A140="","",$A140&amp;"|"&amp;COUNTIF($A$2:$A140,$A140))</f>
        <v/>
      </c>
    </row>
    <row r="141">
      <c r="A141" s="18" t="n"/>
      <c r="B141" s="18" t="n"/>
      <c r="C141" s="18" t="n"/>
      <c r="D141" s="30" t="n"/>
      <c r="E141" s="18" t="n"/>
      <c r="F141" s="5" t="n"/>
      <c r="G141">
        <f>IF($A141="","",$A141&amp;"|"&amp;COUNTIF($A$2:$A141,$A141))</f>
        <v/>
      </c>
    </row>
    <row r="142">
      <c r="A142" s="18" t="n"/>
      <c r="B142" s="18" t="n"/>
      <c r="C142" s="18" t="n"/>
      <c r="D142" s="30" t="n"/>
      <c r="E142" s="18" t="n"/>
      <c r="F142" s="5" t="n"/>
      <c r="G142">
        <f>IF($A142="","",$A142&amp;"|"&amp;COUNTIF($A$2:$A142,$A142))</f>
        <v/>
      </c>
    </row>
    <row r="143">
      <c r="A143" s="18" t="n"/>
      <c r="B143" s="18" t="n"/>
      <c r="C143" s="18" t="n"/>
      <c r="D143" s="30" t="n"/>
      <c r="E143" s="18" t="n"/>
      <c r="F143" s="5" t="n"/>
      <c r="G143">
        <f>IF($A143="","",$A143&amp;"|"&amp;COUNTIF($A$2:$A143,$A143))</f>
        <v/>
      </c>
    </row>
    <row r="144">
      <c r="A144" s="18" t="n"/>
      <c r="B144" s="18" t="n"/>
      <c r="C144" s="18" t="n"/>
      <c r="D144" s="30" t="n"/>
      <c r="E144" s="18" t="n"/>
      <c r="F144" s="5" t="n"/>
      <c r="G144">
        <f>IF($A144="","",$A144&amp;"|"&amp;COUNTIF($A$2:$A144,$A144))</f>
        <v/>
      </c>
    </row>
    <row r="145">
      <c r="A145" s="18" t="n"/>
      <c r="B145" s="18" t="n"/>
      <c r="C145" s="18" t="n"/>
      <c r="D145" s="30" t="n"/>
      <c r="E145" s="18" t="n"/>
      <c r="F145" s="5" t="n"/>
      <c r="G145">
        <f>IF($A145="","",$A145&amp;"|"&amp;COUNTIF($A$2:$A145,$A145))</f>
        <v/>
      </c>
    </row>
    <row r="146">
      <c r="A146" s="18" t="n"/>
      <c r="B146" s="18" t="n"/>
      <c r="C146" s="18" t="n"/>
      <c r="D146" s="30" t="n"/>
      <c r="E146" s="18" t="n"/>
      <c r="F146" s="5" t="n"/>
      <c r="G146">
        <f>IF($A146="","",$A146&amp;"|"&amp;COUNTIF($A$2:$A146,$A146))</f>
        <v/>
      </c>
    </row>
    <row r="147">
      <c r="A147" s="18" t="n"/>
      <c r="B147" s="18" t="n"/>
      <c r="C147" s="18" t="n"/>
      <c r="D147" s="30" t="n"/>
      <c r="E147" s="18" t="n"/>
      <c r="F147" s="5" t="n"/>
      <c r="G147">
        <f>IF($A147="","",$A147&amp;"|"&amp;COUNTIF($A$2:$A147,$A147))</f>
        <v/>
      </c>
    </row>
    <row r="148">
      <c r="A148" s="18" t="n"/>
      <c r="B148" s="18" t="n"/>
      <c r="C148" s="18" t="n"/>
      <c r="D148" s="30" t="n"/>
      <c r="E148" s="18" t="n"/>
      <c r="F148" s="5" t="n"/>
      <c r="G148">
        <f>IF($A148="","",$A148&amp;"|"&amp;COUNTIF($A$2:$A148,$A148))</f>
        <v/>
      </c>
    </row>
    <row r="149">
      <c r="A149" s="18" t="n"/>
      <c r="B149" s="18" t="n"/>
      <c r="C149" s="18" t="n"/>
      <c r="D149" s="30" t="n"/>
      <c r="E149" s="18" t="n"/>
      <c r="F149" s="5" t="n"/>
      <c r="G149">
        <f>IF($A149="","",$A149&amp;"|"&amp;COUNTIF($A$2:$A149,$A149))</f>
        <v/>
      </c>
    </row>
    <row r="150">
      <c r="A150" s="18" t="n"/>
      <c r="B150" s="18" t="n"/>
      <c r="C150" s="18" t="n"/>
      <c r="D150" s="30" t="n"/>
      <c r="E150" s="18" t="n"/>
      <c r="F150" s="5" t="n"/>
      <c r="G150">
        <f>IF($A150="","",$A150&amp;"|"&amp;COUNTIF($A$2:$A150,$A150))</f>
        <v/>
      </c>
    </row>
    <row r="151">
      <c r="A151" s="18" t="n"/>
      <c r="B151" s="18" t="n"/>
      <c r="C151" s="18" t="n"/>
      <c r="D151" s="30" t="n"/>
      <c r="E151" s="18" t="n"/>
      <c r="F151" s="5" t="n"/>
      <c r="G151">
        <f>IF($A151="","",$A151&amp;"|"&amp;COUNTIF($A$2:$A151,$A151))</f>
        <v/>
      </c>
    </row>
    <row r="152">
      <c r="A152" s="18" t="n"/>
      <c r="B152" s="18" t="n"/>
      <c r="C152" s="18" t="n"/>
      <c r="D152" s="30" t="n"/>
      <c r="E152" s="18" t="n"/>
      <c r="F152" s="5" t="n"/>
      <c r="G152">
        <f>IF($A152="","",$A152&amp;"|"&amp;COUNTIF($A$2:$A152,$A152))</f>
        <v/>
      </c>
    </row>
    <row r="153">
      <c r="A153" s="18" t="n"/>
      <c r="B153" s="18" t="n"/>
      <c r="C153" s="18" t="n"/>
      <c r="D153" s="30" t="n"/>
      <c r="E153" s="18" t="n"/>
      <c r="F153" s="5" t="n"/>
      <c r="G153">
        <f>IF($A153="","",$A153&amp;"|"&amp;COUNTIF($A$2:$A153,$A153))</f>
        <v/>
      </c>
    </row>
    <row r="154">
      <c r="A154" s="18" t="n"/>
      <c r="B154" s="18" t="n"/>
      <c r="C154" s="18" t="n"/>
      <c r="D154" s="30" t="n"/>
      <c r="E154" s="18" t="n"/>
      <c r="F154" s="5" t="n"/>
      <c r="G154">
        <f>IF($A154="","",$A154&amp;"|"&amp;COUNTIF($A$2:$A154,$A154))</f>
        <v/>
      </c>
    </row>
    <row r="155">
      <c r="A155" s="18" t="n"/>
      <c r="B155" s="18" t="n"/>
      <c r="C155" s="18" t="n"/>
      <c r="D155" s="30" t="n"/>
      <c r="E155" s="18" t="n"/>
      <c r="F155" s="5" t="n"/>
      <c r="G155">
        <f>IF($A155="","",$A155&amp;"|"&amp;COUNTIF($A$2:$A155,$A155))</f>
        <v/>
      </c>
    </row>
    <row r="156">
      <c r="A156" s="18" t="n"/>
      <c r="B156" s="18" t="n"/>
      <c r="C156" s="18" t="n"/>
      <c r="D156" s="30" t="n"/>
      <c r="E156" s="18" t="n"/>
      <c r="F156" s="5" t="n"/>
      <c r="G156">
        <f>IF($A156="","",$A156&amp;"|"&amp;COUNTIF($A$2:$A156,$A156))</f>
        <v/>
      </c>
    </row>
    <row r="157">
      <c r="A157" s="18" t="n"/>
      <c r="B157" s="18" t="n"/>
      <c r="C157" s="18" t="n"/>
      <c r="D157" s="30" t="n"/>
      <c r="E157" s="18" t="n"/>
      <c r="F157" s="5" t="n"/>
      <c r="G157">
        <f>IF($A157="","",$A157&amp;"|"&amp;COUNTIF($A$2:$A157,$A157))</f>
        <v/>
      </c>
    </row>
    <row r="158">
      <c r="A158" s="18" t="n"/>
      <c r="B158" s="18" t="n"/>
      <c r="C158" s="18" t="n"/>
      <c r="D158" s="30" t="n"/>
      <c r="E158" s="18" t="n"/>
      <c r="F158" s="5" t="n"/>
      <c r="G158">
        <f>IF($A158="","",$A158&amp;"|"&amp;COUNTIF($A$2:$A158,$A158))</f>
        <v/>
      </c>
    </row>
    <row r="159">
      <c r="A159" s="18" t="n"/>
      <c r="B159" s="18" t="n"/>
      <c r="C159" s="18" t="n"/>
      <c r="D159" s="30" t="n"/>
      <c r="E159" s="18" t="n"/>
      <c r="F159" s="5" t="n"/>
      <c r="G159">
        <f>IF($A159="","",$A159&amp;"|"&amp;COUNTIF($A$2:$A159,$A159))</f>
        <v/>
      </c>
    </row>
    <row r="160">
      <c r="A160" s="18" t="n"/>
      <c r="B160" s="18" t="n"/>
      <c r="C160" s="18" t="n"/>
      <c r="D160" s="30" t="n"/>
      <c r="E160" s="18" t="n"/>
      <c r="F160" s="5" t="n"/>
      <c r="G160">
        <f>IF($A160="","",$A160&amp;"|"&amp;COUNTIF($A$2:$A160,$A160))</f>
        <v/>
      </c>
    </row>
    <row r="161">
      <c r="A161" s="18" t="n"/>
      <c r="B161" s="18" t="n"/>
      <c r="C161" s="18" t="n"/>
      <c r="D161" s="30" t="n"/>
      <c r="E161" s="18" t="n"/>
      <c r="F161" s="5" t="n"/>
      <c r="G161">
        <f>IF($A161="","",$A161&amp;"|"&amp;COUNTIF($A$2:$A161,$A161))</f>
        <v/>
      </c>
    </row>
    <row r="162">
      <c r="A162" s="18" t="n"/>
      <c r="B162" s="18" t="n"/>
      <c r="C162" s="18" t="n"/>
      <c r="D162" s="30" t="n"/>
      <c r="E162" s="18" t="n"/>
      <c r="F162" s="5" t="n"/>
      <c r="G162">
        <f>IF($A162="","",$A162&amp;"|"&amp;COUNTIF($A$2:$A162,$A162))</f>
        <v/>
      </c>
    </row>
    <row r="163">
      <c r="A163" s="18" t="n"/>
      <c r="B163" s="18" t="n"/>
      <c r="C163" s="18" t="n"/>
      <c r="D163" s="30" t="n"/>
      <c r="E163" s="18" t="n"/>
      <c r="F163" s="5" t="n"/>
      <c r="G163">
        <f>IF($A163="","",$A163&amp;"|"&amp;COUNTIF($A$2:$A163,$A163))</f>
        <v/>
      </c>
    </row>
    <row r="164">
      <c r="A164" s="18" t="n"/>
      <c r="B164" s="18" t="n"/>
      <c r="C164" s="18" t="n"/>
      <c r="D164" s="30" t="n"/>
      <c r="E164" s="18" t="n"/>
      <c r="F164" s="5" t="n"/>
      <c r="G164">
        <f>IF($A164="","",$A164&amp;"|"&amp;COUNTIF($A$2:$A164,$A164))</f>
        <v/>
      </c>
    </row>
    <row r="165">
      <c r="A165" s="18" t="n"/>
      <c r="B165" s="18" t="n"/>
      <c r="C165" s="18" t="n"/>
      <c r="D165" s="30" t="n"/>
      <c r="E165" s="18" t="n"/>
      <c r="F165" s="5" t="n"/>
      <c r="G165">
        <f>IF($A165="","",$A165&amp;"|"&amp;COUNTIF($A$2:$A165,$A165))</f>
        <v/>
      </c>
    </row>
    <row r="166">
      <c r="A166" s="18" t="n"/>
      <c r="B166" s="18" t="n"/>
      <c r="C166" s="18" t="n"/>
      <c r="D166" s="30" t="n"/>
      <c r="E166" s="18" t="n"/>
      <c r="F166" s="5" t="n"/>
      <c r="G166">
        <f>IF($A166="","",$A166&amp;"|"&amp;COUNTIF($A$2:$A166,$A166))</f>
        <v/>
      </c>
    </row>
    <row r="167">
      <c r="A167" s="18" t="n"/>
      <c r="B167" s="18" t="n"/>
      <c r="C167" s="18" t="n"/>
      <c r="D167" s="30" t="n"/>
      <c r="E167" s="18" t="n"/>
      <c r="F167" s="5" t="n"/>
      <c r="G167">
        <f>IF($A167="","",$A167&amp;"|"&amp;COUNTIF($A$2:$A167,$A167))</f>
        <v/>
      </c>
    </row>
    <row r="168">
      <c r="A168" s="18" t="n"/>
      <c r="B168" s="18" t="n"/>
      <c r="C168" s="18" t="n"/>
      <c r="D168" s="30" t="n"/>
      <c r="E168" s="18" t="n"/>
      <c r="F168" s="5" t="n"/>
      <c r="G168">
        <f>IF($A168="","",$A168&amp;"|"&amp;COUNTIF($A$2:$A168,$A168))</f>
        <v/>
      </c>
    </row>
    <row r="169">
      <c r="A169" s="18" t="n"/>
      <c r="B169" s="18" t="n"/>
      <c r="C169" s="18" t="n"/>
      <c r="D169" s="30" t="n"/>
      <c r="E169" s="18" t="n"/>
      <c r="F169" s="5" t="n"/>
      <c r="G169">
        <f>IF($A169="","",$A169&amp;"|"&amp;COUNTIF($A$2:$A169,$A169))</f>
        <v/>
      </c>
    </row>
    <row r="170">
      <c r="A170" s="18" t="n"/>
      <c r="B170" s="18" t="n"/>
      <c r="C170" s="18" t="n"/>
      <c r="D170" s="30" t="n"/>
      <c r="E170" s="18" t="n"/>
      <c r="F170" s="5" t="n"/>
      <c r="G170">
        <f>IF($A170="","",$A170&amp;"|"&amp;COUNTIF($A$2:$A170,$A170))</f>
        <v/>
      </c>
    </row>
    <row r="171">
      <c r="A171" s="18" t="n"/>
      <c r="B171" s="18" t="n"/>
      <c r="C171" s="18" t="n"/>
      <c r="D171" s="30" t="n"/>
      <c r="E171" s="18" t="n"/>
      <c r="F171" s="5" t="n"/>
      <c r="G171">
        <f>IF($A171="","",$A171&amp;"|"&amp;COUNTIF($A$2:$A171,$A171))</f>
        <v/>
      </c>
    </row>
    <row r="172">
      <c r="A172" s="18" t="n"/>
      <c r="B172" s="18" t="n"/>
      <c r="C172" s="18" t="n"/>
      <c r="D172" s="30" t="n"/>
      <c r="E172" s="18" t="n"/>
      <c r="F172" s="5" t="n"/>
      <c r="G172">
        <f>IF($A172="","",$A172&amp;"|"&amp;COUNTIF($A$2:$A172,$A172))</f>
        <v/>
      </c>
    </row>
    <row r="173">
      <c r="A173" s="18" t="n"/>
      <c r="B173" s="18" t="n"/>
      <c r="C173" s="18" t="n"/>
      <c r="D173" s="30" t="n"/>
      <c r="E173" s="18" t="n"/>
      <c r="F173" s="5" t="n"/>
      <c r="G173">
        <f>IF($A173="","",$A173&amp;"|"&amp;COUNTIF($A$2:$A173,$A173))</f>
        <v/>
      </c>
    </row>
    <row r="174">
      <c r="A174" s="18" t="n"/>
      <c r="B174" s="18" t="n"/>
      <c r="C174" s="18" t="n"/>
      <c r="D174" s="30" t="n"/>
      <c r="E174" s="18" t="n"/>
      <c r="F174" s="5" t="n"/>
      <c r="G174">
        <f>IF($A174="","",$A174&amp;"|"&amp;COUNTIF($A$2:$A174,$A174))</f>
        <v/>
      </c>
    </row>
    <row r="175">
      <c r="A175" s="18" t="n"/>
      <c r="B175" s="18" t="n"/>
      <c r="C175" s="18" t="n"/>
      <c r="D175" s="30" t="n"/>
      <c r="E175" s="18" t="n"/>
      <c r="F175" s="5" t="n"/>
      <c r="G175">
        <f>IF($A175="","",$A175&amp;"|"&amp;COUNTIF($A$2:$A175,$A175))</f>
        <v/>
      </c>
    </row>
    <row r="176">
      <c r="A176" s="18" t="n"/>
      <c r="B176" s="18" t="n"/>
      <c r="C176" s="18" t="n"/>
      <c r="D176" s="30" t="n"/>
      <c r="E176" s="18" t="n"/>
      <c r="F176" s="5" t="n"/>
      <c r="G176">
        <f>IF($A176="","",$A176&amp;"|"&amp;COUNTIF($A$2:$A176,$A176))</f>
        <v/>
      </c>
    </row>
    <row r="177">
      <c r="A177" s="18" t="n"/>
      <c r="B177" s="18" t="n"/>
      <c r="C177" s="18" t="n"/>
      <c r="D177" s="30" t="n"/>
      <c r="E177" s="18" t="n"/>
      <c r="F177" s="5" t="n"/>
      <c r="G177">
        <f>IF($A177="","",$A177&amp;"|"&amp;COUNTIF($A$2:$A177,$A177))</f>
        <v/>
      </c>
    </row>
    <row r="178">
      <c r="A178" s="18" t="n"/>
      <c r="B178" s="18" t="n"/>
      <c r="C178" s="18" t="n"/>
      <c r="D178" s="30" t="n"/>
      <c r="E178" s="18" t="n"/>
      <c r="F178" s="5" t="n"/>
      <c r="G178">
        <f>IF($A178="","",$A178&amp;"|"&amp;COUNTIF($A$2:$A178,$A178))</f>
        <v/>
      </c>
    </row>
    <row r="179">
      <c r="A179" s="18" t="n"/>
      <c r="B179" s="18" t="n"/>
      <c r="C179" s="18" t="n"/>
      <c r="D179" s="30" t="n"/>
      <c r="E179" s="18" t="n"/>
      <c r="F179" s="5" t="n"/>
      <c r="G179">
        <f>IF($A179="","",$A179&amp;"|"&amp;COUNTIF($A$2:$A179,$A179))</f>
        <v/>
      </c>
    </row>
    <row r="180">
      <c r="A180" s="18" t="n"/>
      <c r="B180" s="18" t="n"/>
      <c r="C180" s="18" t="n"/>
      <c r="D180" s="30" t="n"/>
      <c r="E180" s="18" t="n"/>
      <c r="F180" s="5" t="n"/>
      <c r="G180">
        <f>IF($A180="","",$A180&amp;"|"&amp;COUNTIF($A$2:$A180,$A180))</f>
        <v/>
      </c>
    </row>
    <row r="181">
      <c r="A181" s="18" t="n"/>
      <c r="B181" s="18" t="n"/>
      <c r="C181" s="18" t="n"/>
      <c r="D181" s="30" t="n"/>
      <c r="E181" s="18" t="n"/>
      <c r="F181" s="5" t="n"/>
      <c r="G181">
        <f>IF($A181="","",$A181&amp;"|"&amp;COUNTIF($A$2:$A181,$A181))</f>
        <v/>
      </c>
    </row>
    <row r="182">
      <c r="A182" s="18" t="n"/>
      <c r="B182" s="18" t="n"/>
      <c r="C182" s="18" t="n"/>
      <c r="D182" s="30" t="n"/>
      <c r="E182" s="18" t="n"/>
      <c r="F182" s="5" t="n"/>
      <c r="G182">
        <f>IF($A182="","",$A182&amp;"|"&amp;COUNTIF($A$2:$A182,$A182))</f>
        <v/>
      </c>
    </row>
    <row r="183">
      <c r="A183" s="18" t="n"/>
      <c r="B183" s="18" t="n"/>
      <c r="C183" s="18" t="n"/>
      <c r="D183" s="30" t="n"/>
      <c r="E183" s="18" t="n"/>
      <c r="F183" s="5" t="n"/>
      <c r="G183">
        <f>IF($A183="","",$A183&amp;"|"&amp;COUNTIF($A$2:$A183,$A183))</f>
        <v/>
      </c>
    </row>
    <row r="184">
      <c r="A184" s="18" t="n"/>
      <c r="B184" s="18" t="n"/>
      <c r="C184" s="18" t="n"/>
      <c r="D184" s="30" t="n"/>
      <c r="E184" s="18" t="n"/>
      <c r="F184" s="5" t="n"/>
      <c r="G184">
        <f>IF($A184="","",$A184&amp;"|"&amp;COUNTIF($A$2:$A184,$A184))</f>
        <v/>
      </c>
    </row>
    <row r="185">
      <c r="A185" s="18" t="n"/>
      <c r="B185" s="18" t="n"/>
      <c r="C185" s="18" t="n"/>
      <c r="D185" s="30" t="n"/>
      <c r="E185" s="18" t="n"/>
      <c r="F185" s="5" t="n"/>
      <c r="G185">
        <f>IF($A185="","",$A185&amp;"|"&amp;COUNTIF($A$2:$A185,$A185))</f>
        <v/>
      </c>
    </row>
    <row r="186">
      <c r="A186" s="18" t="n"/>
      <c r="B186" s="18" t="n"/>
      <c r="C186" s="18" t="n"/>
      <c r="D186" s="30" t="n"/>
      <c r="E186" s="18" t="n"/>
      <c r="F186" s="5" t="n"/>
      <c r="G186">
        <f>IF($A186="","",$A186&amp;"|"&amp;COUNTIF($A$2:$A186,$A186))</f>
        <v/>
      </c>
    </row>
    <row r="187">
      <c r="A187" s="18" t="n"/>
      <c r="B187" s="18" t="n"/>
      <c r="C187" s="18" t="n"/>
      <c r="D187" s="30" t="n"/>
      <c r="E187" s="18" t="n"/>
      <c r="F187" s="5" t="n"/>
      <c r="G187">
        <f>IF($A187="","",$A187&amp;"|"&amp;COUNTIF($A$2:$A187,$A187))</f>
        <v/>
      </c>
    </row>
    <row r="188">
      <c r="A188" s="18" t="n"/>
      <c r="B188" s="18" t="n"/>
      <c r="C188" s="18" t="n"/>
      <c r="D188" s="30" t="n"/>
      <c r="E188" s="18" t="n"/>
      <c r="F188" s="5" t="n"/>
      <c r="G188">
        <f>IF($A188="","",$A188&amp;"|"&amp;COUNTIF($A$2:$A188,$A188))</f>
        <v/>
      </c>
    </row>
    <row r="189">
      <c r="A189" s="18" t="n"/>
      <c r="B189" s="18" t="n"/>
      <c r="C189" s="18" t="n"/>
      <c r="D189" s="30" t="n"/>
      <c r="E189" s="18" t="n"/>
      <c r="F189" s="5" t="n"/>
      <c r="G189">
        <f>IF($A189="","",$A189&amp;"|"&amp;COUNTIF($A$2:$A189,$A189))</f>
        <v/>
      </c>
    </row>
    <row r="190">
      <c r="A190" s="18" t="n"/>
      <c r="B190" s="18" t="n"/>
      <c r="C190" s="18" t="n"/>
      <c r="D190" s="30" t="n"/>
      <c r="E190" s="18" t="n"/>
      <c r="F190" s="5" t="n"/>
      <c r="G190">
        <f>IF($A190="","",$A190&amp;"|"&amp;COUNTIF($A$2:$A190,$A190))</f>
        <v/>
      </c>
    </row>
    <row r="191">
      <c r="A191" s="18" t="n"/>
      <c r="B191" s="18" t="n"/>
      <c r="C191" s="18" t="n"/>
      <c r="D191" s="30" t="n"/>
      <c r="E191" s="18" t="n"/>
      <c r="F191" s="5" t="n"/>
      <c r="G191">
        <f>IF($A191="","",$A191&amp;"|"&amp;COUNTIF($A$2:$A191,$A191))</f>
        <v/>
      </c>
    </row>
    <row r="192">
      <c r="A192" s="18" t="n"/>
      <c r="B192" s="18" t="n"/>
      <c r="C192" s="18" t="n"/>
      <c r="D192" s="30" t="n"/>
      <c r="E192" s="18" t="n"/>
      <c r="F192" s="5" t="n"/>
      <c r="G192">
        <f>IF($A192="","",$A192&amp;"|"&amp;COUNTIF($A$2:$A192,$A192))</f>
        <v/>
      </c>
    </row>
    <row r="193">
      <c r="A193" s="18" t="n"/>
      <c r="B193" s="18" t="n"/>
      <c r="C193" s="18" t="n"/>
      <c r="D193" s="30" t="n"/>
      <c r="E193" s="18" t="n"/>
      <c r="F193" s="5" t="n"/>
      <c r="G193">
        <f>IF($A193="","",$A193&amp;"|"&amp;COUNTIF($A$2:$A193,$A193))</f>
        <v/>
      </c>
    </row>
    <row r="194">
      <c r="A194" s="18" t="n"/>
      <c r="B194" s="18" t="n"/>
      <c r="C194" s="18" t="n"/>
      <c r="D194" s="30" t="n"/>
      <c r="E194" s="18" t="n"/>
      <c r="F194" s="5" t="n"/>
      <c r="G194">
        <f>IF($A194="","",$A194&amp;"|"&amp;COUNTIF($A$2:$A194,$A194))</f>
        <v/>
      </c>
    </row>
    <row r="195">
      <c r="A195" s="18" t="n"/>
      <c r="B195" s="18" t="n"/>
      <c r="C195" s="18" t="n"/>
      <c r="D195" s="30" t="n"/>
      <c r="E195" s="18" t="n"/>
      <c r="F195" s="5" t="n"/>
      <c r="G195">
        <f>IF($A195="","",$A195&amp;"|"&amp;COUNTIF($A$2:$A195,$A195))</f>
        <v/>
      </c>
    </row>
    <row r="196">
      <c r="A196" s="18" t="n"/>
      <c r="B196" s="18" t="n"/>
      <c r="C196" s="18" t="n"/>
      <c r="D196" s="30" t="n"/>
      <c r="E196" s="18" t="n"/>
      <c r="F196" s="5" t="n"/>
      <c r="G196">
        <f>IF($A196="","",$A196&amp;"|"&amp;COUNTIF($A$2:$A196,$A196))</f>
        <v/>
      </c>
    </row>
    <row r="197">
      <c r="A197" s="18" t="n"/>
      <c r="B197" s="18" t="n"/>
      <c r="C197" s="18" t="n"/>
      <c r="D197" s="30" t="n"/>
      <c r="E197" s="18" t="n"/>
      <c r="F197" s="5" t="n"/>
      <c r="G197">
        <f>IF($A197="","",$A197&amp;"|"&amp;COUNTIF($A$2:$A197,$A197))</f>
        <v/>
      </c>
    </row>
    <row r="198">
      <c r="A198" s="18" t="n"/>
      <c r="B198" s="18" t="n"/>
      <c r="C198" s="18" t="n"/>
      <c r="D198" s="30" t="n"/>
      <c r="E198" s="18" t="n"/>
      <c r="F198" s="5" t="n"/>
      <c r="G198">
        <f>IF($A198="","",$A198&amp;"|"&amp;COUNTIF($A$2:$A198,$A198))</f>
        <v/>
      </c>
    </row>
    <row r="199">
      <c r="A199" s="18" t="n"/>
      <c r="B199" s="18" t="n"/>
      <c r="C199" s="18" t="n"/>
      <c r="D199" s="30" t="n"/>
      <c r="E199" s="18" t="n"/>
      <c r="F199" s="5" t="n"/>
      <c r="G199">
        <f>IF($A199="","",$A199&amp;"|"&amp;COUNTIF($A$2:$A199,$A199))</f>
        <v/>
      </c>
    </row>
    <row r="200">
      <c r="A200" s="18" t="n"/>
      <c r="B200" s="18" t="n"/>
      <c r="C200" s="18" t="n"/>
      <c r="D200" s="30" t="n"/>
      <c r="E200" s="18" t="n"/>
      <c r="F200" s="5" t="n"/>
      <c r="G200">
        <f>IF($A200="","",$A200&amp;"|"&amp;COUNTIF($A$2:$A200,$A200))</f>
        <v/>
      </c>
    </row>
    <row r="201">
      <c r="A201" s="18" t="n"/>
      <c r="B201" s="18" t="n"/>
      <c r="C201" s="18" t="n"/>
      <c r="D201" s="30" t="n"/>
      <c r="E201" s="18" t="n"/>
      <c r="F201" s="5" t="n"/>
      <c r="G201">
        <f>IF($A201="","",$A201&amp;"|"&amp;COUNTIF($A$2:$A201,$A201))</f>
        <v/>
      </c>
    </row>
    <row r="202">
      <c r="A202" s="18" t="n"/>
      <c r="B202" s="18" t="n"/>
      <c r="C202" s="18" t="n"/>
      <c r="D202" s="30" t="n"/>
      <c r="E202" s="18" t="n"/>
      <c r="F202" s="5" t="n"/>
      <c r="G202">
        <f>IF($A202="","",$A202&amp;"|"&amp;COUNTIF($A$2:$A202,$A202))</f>
        <v/>
      </c>
    </row>
    <row r="203">
      <c r="A203" s="18" t="n"/>
      <c r="B203" s="18" t="n"/>
      <c r="C203" s="18" t="n"/>
      <c r="D203" s="30" t="n"/>
      <c r="E203" s="18" t="n"/>
      <c r="F203" s="5" t="n"/>
      <c r="G203">
        <f>IF($A203="","",$A203&amp;"|"&amp;COUNTIF($A$2:$A203,$A203))</f>
        <v/>
      </c>
    </row>
    <row r="204">
      <c r="A204" s="18" t="n"/>
      <c r="B204" s="18" t="n"/>
      <c r="C204" s="18" t="n"/>
      <c r="D204" s="30" t="n"/>
      <c r="E204" s="18" t="n"/>
      <c r="F204" s="5" t="n"/>
      <c r="G204">
        <f>IF($A204="","",$A204&amp;"|"&amp;COUNTIF($A$2:$A204,$A204))</f>
        <v/>
      </c>
    </row>
    <row r="205">
      <c r="A205" s="18" t="n"/>
      <c r="B205" s="18" t="n"/>
      <c r="C205" s="18" t="n"/>
      <c r="D205" s="30" t="n"/>
      <c r="E205" s="18" t="n"/>
      <c r="F205" s="5" t="n"/>
      <c r="G205">
        <f>IF($A205="","",$A205&amp;"|"&amp;COUNTIF($A$2:$A205,$A205))</f>
        <v/>
      </c>
    </row>
    <row r="206">
      <c r="A206" s="18" t="n"/>
      <c r="B206" s="18" t="n"/>
      <c r="C206" s="18" t="n"/>
      <c r="D206" s="30" t="n"/>
      <c r="E206" s="18" t="n"/>
      <c r="F206" s="5" t="n"/>
      <c r="G206">
        <f>IF($A206="","",$A206&amp;"|"&amp;COUNTIF($A$2:$A206,$A206))</f>
        <v/>
      </c>
    </row>
    <row r="207">
      <c r="A207" s="18" t="n"/>
      <c r="B207" s="18" t="n"/>
      <c r="C207" s="18" t="n"/>
      <c r="D207" s="30" t="n"/>
      <c r="E207" s="18" t="n"/>
      <c r="F207" s="5" t="n"/>
      <c r="G207">
        <f>IF($A207="","",$A207&amp;"|"&amp;COUNTIF($A$2:$A207,$A207))</f>
        <v/>
      </c>
    </row>
    <row r="208">
      <c r="A208" s="18" t="n"/>
      <c r="B208" s="18" t="n"/>
      <c r="C208" s="18" t="n"/>
      <c r="D208" s="30" t="n"/>
      <c r="E208" s="18" t="n"/>
      <c r="F208" s="5" t="n"/>
      <c r="G208">
        <f>IF($A208="","",$A208&amp;"|"&amp;COUNTIF($A$2:$A208,$A208))</f>
        <v/>
      </c>
    </row>
    <row r="209">
      <c r="A209" s="18" t="n"/>
      <c r="B209" s="18" t="n"/>
      <c r="C209" s="18" t="n"/>
      <c r="D209" s="30" t="n"/>
      <c r="E209" s="18" t="n"/>
      <c r="F209" s="5" t="n"/>
      <c r="G209">
        <f>IF($A209="","",$A209&amp;"|"&amp;COUNTIF($A$2:$A209,$A209))</f>
        <v/>
      </c>
    </row>
    <row r="210">
      <c r="A210" s="18" t="n"/>
      <c r="B210" s="18" t="n"/>
      <c r="C210" s="18" t="n"/>
      <c r="D210" s="30" t="n"/>
      <c r="E210" s="18" t="n"/>
      <c r="F210" s="5" t="n"/>
      <c r="G210">
        <f>IF($A210="","",$A210&amp;"|"&amp;COUNTIF($A$2:$A210,$A210))</f>
        <v/>
      </c>
    </row>
    <row r="211">
      <c r="A211" s="18" t="n"/>
      <c r="B211" s="18" t="n"/>
      <c r="C211" s="18" t="n"/>
      <c r="D211" s="30" t="n"/>
      <c r="E211" s="18" t="n"/>
      <c r="F211" s="5" t="n"/>
      <c r="G211">
        <f>IF($A211="","",$A211&amp;"|"&amp;COUNTIF($A$2:$A211,$A211))</f>
        <v/>
      </c>
    </row>
    <row r="212">
      <c r="A212" s="18" t="n"/>
      <c r="B212" s="18" t="n"/>
      <c r="C212" s="18" t="n"/>
      <c r="D212" s="30" t="n"/>
      <c r="E212" s="18" t="n"/>
      <c r="F212" s="5" t="n"/>
      <c r="G212">
        <f>IF($A212="","",$A212&amp;"|"&amp;COUNTIF($A$2:$A212,$A212))</f>
        <v/>
      </c>
    </row>
    <row r="213">
      <c r="A213" s="18" t="n"/>
      <c r="B213" s="18" t="n"/>
      <c r="C213" s="18" t="n"/>
      <c r="D213" s="30" t="n"/>
      <c r="E213" s="18" t="n"/>
      <c r="F213" s="5" t="n"/>
      <c r="G213">
        <f>IF($A213="","",$A213&amp;"|"&amp;COUNTIF($A$2:$A213,$A213))</f>
        <v/>
      </c>
    </row>
    <row r="214">
      <c r="A214" s="18" t="n"/>
      <c r="B214" s="18" t="n"/>
      <c r="C214" s="18" t="n"/>
      <c r="D214" s="30" t="n"/>
      <c r="E214" s="18" t="n"/>
      <c r="F214" s="5" t="n"/>
      <c r="G214">
        <f>IF($A214="","",$A214&amp;"|"&amp;COUNTIF($A$2:$A214,$A214))</f>
        <v/>
      </c>
    </row>
    <row r="215">
      <c r="A215" s="18" t="n"/>
      <c r="B215" s="18" t="n"/>
      <c r="C215" s="18" t="n"/>
      <c r="D215" s="30" t="n"/>
      <c r="E215" s="18" t="n"/>
      <c r="F215" s="5" t="n"/>
      <c r="G215">
        <f>IF($A215="","",$A215&amp;"|"&amp;COUNTIF($A$2:$A215,$A215))</f>
        <v/>
      </c>
    </row>
    <row r="216">
      <c r="A216" s="18" t="n"/>
      <c r="B216" s="18" t="n"/>
      <c r="C216" s="18" t="n"/>
      <c r="D216" s="30" t="n"/>
      <c r="E216" s="18" t="n"/>
      <c r="F216" s="5" t="n"/>
      <c r="G216">
        <f>IF($A216="","",$A216&amp;"|"&amp;COUNTIF($A$2:$A216,$A216))</f>
        <v/>
      </c>
    </row>
    <row r="217">
      <c r="A217" s="18" t="n"/>
      <c r="B217" s="18" t="n"/>
      <c r="C217" s="18" t="n"/>
      <c r="D217" s="30" t="n"/>
      <c r="E217" s="18" t="n"/>
      <c r="F217" s="5" t="n"/>
      <c r="G217">
        <f>IF($A217="","",$A217&amp;"|"&amp;COUNTIF($A$2:$A217,$A217))</f>
        <v/>
      </c>
    </row>
    <row r="218">
      <c r="A218" s="18" t="n"/>
      <c r="B218" s="18" t="n"/>
      <c r="C218" s="18" t="n"/>
      <c r="D218" s="30" t="n"/>
      <c r="E218" s="18" t="n"/>
      <c r="F218" s="5" t="n"/>
      <c r="G218">
        <f>IF($A218="","",$A218&amp;"|"&amp;COUNTIF($A$2:$A218,$A218))</f>
        <v/>
      </c>
    </row>
    <row r="219">
      <c r="A219" s="18" t="n"/>
      <c r="B219" s="18" t="n"/>
      <c r="C219" s="18" t="n"/>
      <c r="D219" s="30" t="n"/>
      <c r="E219" s="18" t="n"/>
      <c r="F219" s="5" t="n"/>
      <c r="G219">
        <f>IF($A219="","",$A219&amp;"|"&amp;COUNTIF($A$2:$A219,$A219))</f>
        <v/>
      </c>
    </row>
    <row r="220">
      <c r="A220" s="18" t="n"/>
      <c r="B220" s="18" t="n"/>
      <c r="C220" s="18" t="n"/>
      <c r="D220" s="30" t="n"/>
      <c r="E220" s="18" t="n"/>
      <c r="F220" s="5" t="n"/>
      <c r="G220">
        <f>IF($A220="","",$A220&amp;"|"&amp;COUNTIF($A$2:$A220,$A220))</f>
        <v/>
      </c>
    </row>
    <row r="221">
      <c r="A221" s="18" t="n"/>
      <c r="B221" s="18" t="n"/>
      <c r="C221" s="18" t="n"/>
      <c r="D221" s="30" t="n"/>
      <c r="E221" s="18" t="n"/>
      <c r="F221" s="5" t="n"/>
      <c r="G221">
        <f>IF($A221="","",$A221&amp;"|"&amp;COUNTIF($A$2:$A221,$A221))</f>
        <v/>
      </c>
    </row>
    <row r="222">
      <c r="A222" s="18" t="n"/>
      <c r="B222" s="18" t="n"/>
      <c r="C222" s="18" t="n"/>
      <c r="D222" s="30" t="n"/>
      <c r="E222" s="18" t="n"/>
      <c r="F222" s="5" t="n"/>
      <c r="G222">
        <f>IF($A222="","",$A222&amp;"|"&amp;COUNTIF($A$2:$A222,$A222))</f>
        <v/>
      </c>
    </row>
    <row r="223">
      <c r="A223" s="18" t="n"/>
      <c r="B223" s="18" t="n"/>
      <c r="C223" s="18" t="n"/>
      <c r="D223" s="30" t="n"/>
      <c r="E223" s="18" t="n"/>
      <c r="F223" s="5" t="n"/>
      <c r="G223">
        <f>IF($A223="","",$A223&amp;"|"&amp;COUNTIF($A$2:$A223,$A223))</f>
        <v/>
      </c>
    </row>
    <row r="224">
      <c r="A224" s="18" t="n"/>
      <c r="B224" s="18" t="n"/>
      <c r="C224" s="18" t="n"/>
      <c r="D224" s="30" t="n"/>
      <c r="E224" s="18" t="n"/>
      <c r="F224" s="5" t="n"/>
      <c r="G224">
        <f>IF($A224="","",$A224&amp;"|"&amp;COUNTIF($A$2:$A224,$A224))</f>
        <v/>
      </c>
    </row>
    <row r="225">
      <c r="A225" s="18" t="n"/>
      <c r="B225" s="18" t="n"/>
      <c r="C225" s="18" t="n"/>
      <c r="D225" s="30" t="n"/>
      <c r="E225" s="18" t="n"/>
      <c r="F225" s="5" t="n"/>
      <c r="G225">
        <f>IF($A225="","",$A225&amp;"|"&amp;COUNTIF($A$2:$A225,$A225))</f>
        <v/>
      </c>
    </row>
    <row r="226">
      <c r="A226" s="18" t="n"/>
      <c r="B226" s="18" t="n"/>
      <c r="C226" s="18" t="n"/>
      <c r="D226" s="30" t="n"/>
      <c r="E226" s="18" t="n"/>
      <c r="F226" s="5" t="n"/>
      <c r="G226">
        <f>IF($A226="","",$A226&amp;"|"&amp;COUNTIF($A$2:$A226,$A226))</f>
        <v/>
      </c>
    </row>
    <row r="227">
      <c r="A227" s="18" t="n"/>
      <c r="B227" s="18" t="n"/>
      <c r="C227" s="18" t="n"/>
      <c r="D227" s="30" t="n"/>
      <c r="E227" s="18" t="n"/>
      <c r="F227" s="5" t="n"/>
      <c r="G227">
        <f>IF($A227="","",$A227&amp;"|"&amp;COUNTIF($A$2:$A227,$A227))</f>
        <v/>
      </c>
    </row>
    <row r="228">
      <c r="A228" s="18" t="n"/>
      <c r="B228" s="18" t="n"/>
      <c r="C228" s="18" t="n"/>
      <c r="D228" s="30" t="n"/>
      <c r="E228" s="18" t="n"/>
      <c r="F228" s="5" t="n"/>
      <c r="G228">
        <f>IF($A228="","",$A228&amp;"|"&amp;COUNTIF($A$2:$A228,$A228))</f>
        <v/>
      </c>
    </row>
    <row r="229">
      <c r="A229" s="18" t="n"/>
      <c r="B229" s="18" t="n"/>
      <c r="C229" s="18" t="n"/>
      <c r="D229" s="30" t="n"/>
      <c r="E229" s="18" t="n"/>
      <c r="F229" s="5" t="n"/>
      <c r="G229">
        <f>IF($A229="","",$A229&amp;"|"&amp;COUNTIF($A$2:$A229,$A229))</f>
        <v/>
      </c>
    </row>
    <row r="230">
      <c r="A230" s="18" t="n"/>
      <c r="B230" s="18" t="n"/>
      <c r="C230" s="18" t="n"/>
      <c r="D230" s="30" t="n"/>
      <c r="E230" s="18" t="n"/>
      <c r="F230" s="5" t="n"/>
      <c r="G230">
        <f>IF($A230="","",$A230&amp;"|"&amp;COUNTIF($A$2:$A230,$A230))</f>
        <v/>
      </c>
    </row>
    <row r="231">
      <c r="A231" s="18" t="n"/>
      <c r="B231" s="18" t="n"/>
      <c r="C231" s="18" t="n"/>
      <c r="D231" s="30" t="n"/>
      <c r="E231" s="18" t="n"/>
      <c r="F231" s="5" t="n"/>
      <c r="G231">
        <f>IF($A231="","",$A231&amp;"|"&amp;COUNTIF($A$2:$A231,$A231))</f>
        <v/>
      </c>
    </row>
    <row r="232">
      <c r="A232" s="18" t="n"/>
      <c r="B232" s="18" t="n"/>
      <c r="C232" s="18" t="n"/>
      <c r="D232" s="30" t="n"/>
      <c r="E232" s="18" t="n"/>
      <c r="F232" s="5" t="n"/>
      <c r="G232">
        <f>IF($A232="","",$A232&amp;"|"&amp;COUNTIF($A$2:$A232,$A232))</f>
        <v/>
      </c>
    </row>
    <row r="233">
      <c r="A233" s="18" t="n"/>
      <c r="B233" s="18" t="n"/>
      <c r="C233" s="18" t="n"/>
      <c r="D233" s="30" t="n"/>
      <c r="E233" s="18" t="n"/>
      <c r="F233" s="5" t="n"/>
      <c r="G233">
        <f>IF($A233="","",$A233&amp;"|"&amp;COUNTIF($A$2:$A233,$A233))</f>
        <v/>
      </c>
    </row>
    <row r="234">
      <c r="A234" s="18" t="n"/>
      <c r="B234" s="18" t="n"/>
      <c r="C234" s="18" t="n"/>
      <c r="D234" s="30" t="n"/>
      <c r="E234" s="18" t="n"/>
      <c r="F234" s="5" t="n"/>
      <c r="G234">
        <f>IF($A234="","",$A234&amp;"|"&amp;COUNTIF($A$2:$A234,$A234))</f>
        <v/>
      </c>
    </row>
    <row r="235">
      <c r="A235" s="18" t="n"/>
      <c r="B235" s="18" t="n"/>
      <c r="C235" s="18" t="n"/>
      <c r="D235" s="30" t="n"/>
      <c r="E235" s="18" t="n"/>
      <c r="F235" s="5" t="n"/>
      <c r="G235">
        <f>IF($A235="","",$A235&amp;"|"&amp;COUNTIF($A$2:$A235,$A235))</f>
        <v/>
      </c>
    </row>
    <row r="236">
      <c r="A236" s="18" t="n"/>
      <c r="B236" s="18" t="n"/>
      <c r="C236" s="18" t="n"/>
      <c r="D236" s="30" t="n"/>
      <c r="E236" s="18" t="n"/>
      <c r="F236" s="5" t="n"/>
      <c r="G236">
        <f>IF($A236="","",$A236&amp;"|"&amp;COUNTIF($A$2:$A236,$A236))</f>
        <v/>
      </c>
    </row>
    <row r="237">
      <c r="A237" s="18" t="n"/>
      <c r="B237" s="18" t="n"/>
      <c r="C237" s="18" t="n"/>
      <c r="D237" s="30" t="n"/>
      <c r="E237" s="18" t="n"/>
      <c r="F237" s="5" t="n"/>
      <c r="G237">
        <f>IF($A237="","",$A237&amp;"|"&amp;COUNTIF($A$2:$A237,$A237))</f>
        <v/>
      </c>
    </row>
    <row r="238">
      <c r="A238" s="18" t="n"/>
      <c r="B238" s="18" t="n"/>
      <c r="C238" s="18" t="n"/>
      <c r="D238" s="30" t="n"/>
      <c r="E238" s="18" t="n"/>
      <c r="F238" s="5" t="n"/>
      <c r="G238">
        <f>IF($A238="","",$A238&amp;"|"&amp;COUNTIF($A$2:$A238,$A238))</f>
        <v/>
      </c>
    </row>
    <row r="239">
      <c r="A239" s="18" t="n"/>
      <c r="B239" s="18" t="n"/>
      <c r="C239" s="18" t="n"/>
      <c r="D239" s="30" t="n"/>
      <c r="E239" s="18" t="n"/>
      <c r="F239" s="5" t="n"/>
      <c r="G239">
        <f>IF($A239="","",$A239&amp;"|"&amp;COUNTIF($A$2:$A239,$A239))</f>
        <v/>
      </c>
    </row>
    <row r="240">
      <c r="A240" s="18" t="n"/>
      <c r="B240" s="18" t="n"/>
      <c r="C240" s="18" t="n"/>
      <c r="D240" s="30" t="n"/>
      <c r="E240" s="18" t="n"/>
      <c r="F240" s="5" t="n"/>
      <c r="G240">
        <f>IF($A240="","",$A240&amp;"|"&amp;COUNTIF($A$2:$A240,$A240))</f>
        <v/>
      </c>
    </row>
    <row r="241">
      <c r="A241" s="18" t="n"/>
      <c r="B241" s="18" t="n"/>
      <c r="C241" s="18" t="n"/>
      <c r="D241" s="30" t="n"/>
      <c r="E241" s="18" t="n"/>
      <c r="F241" s="5" t="n"/>
      <c r="G241">
        <f>IF($A241="","",$A241&amp;"|"&amp;COUNTIF($A$2:$A241,$A241))</f>
        <v/>
      </c>
    </row>
    <row r="242">
      <c r="A242" s="18" t="n"/>
      <c r="B242" s="18" t="n"/>
      <c r="C242" s="18" t="n"/>
      <c r="D242" s="30" t="n"/>
      <c r="E242" s="18" t="n"/>
      <c r="F242" s="5" t="n"/>
      <c r="G242">
        <f>IF($A242="","",$A242&amp;"|"&amp;COUNTIF($A$2:$A242,$A242))</f>
        <v/>
      </c>
    </row>
    <row r="243">
      <c r="A243" s="18" t="n"/>
      <c r="B243" s="18" t="n"/>
      <c r="C243" s="18" t="n"/>
      <c r="D243" s="30" t="n"/>
      <c r="E243" s="18" t="n"/>
      <c r="F243" s="5" t="n"/>
      <c r="G243">
        <f>IF($A243="","",$A243&amp;"|"&amp;COUNTIF($A$2:$A243,$A243))</f>
        <v/>
      </c>
    </row>
    <row r="244">
      <c r="A244" s="18" t="n"/>
      <c r="B244" s="18" t="n"/>
      <c r="C244" s="18" t="n"/>
      <c r="D244" s="30" t="n"/>
      <c r="E244" s="18" t="n"/>
      <c r="F244" s="5" t="n"/>
      <c r="G244">
        <f>IF($A244="","",$A244&amp;"|"&amp;COUNTIF($A$2:$A244,$A244))</f>
        <v/>
      </c>
    </row>
    <row r="245">
      <c r="A245" s="18" t="n"/>
      <c r="B245" s="18" t="n"/>
      <c r="C245" s="18" t="n"/>
      <c r="D245" s="30" t="n"/>
      <c r="E245" s="18" t="n"/>
      <c r="F245" s="5" t="n"/>
      <c r="G245">
        <f>IF($A245="","",$A245&amp;"|"&amp;COUNTIF($A$2:$A245,$A245))</f>
        <v/>
      </c>
    </row>
    <row r="246">
      <c r="A246" s="18" t="n"/>
      <c r="B246" s="18" t="n"/>
      <c r="C246" s="18" t="n"/>
      <c r="D246" s="30" t="n"/>
      <c r="E246" s="18" t="n"/>
      <c r="F246" s="5" t="n"/>
      <c r="G246">
        <f>IF($A246="","",$A246&amp;"|"&amp;COUNTIF($A$2:$A246,$A246))</f>
        <v/>
      </c>
    </row>
    <row r="247">
      <c r="A247" s="18" t="n"/>
      <c r="B247" s="18" t="n"/>
      <c r="C247" s="18" t="n"/>
      <c r="D247" s="30" t="n"/>
      <c r="E247" s="18" t="n"/>
      <c r="F247" s="5" t="n"/>
      <c r="G247">
        <f>IF($A247="","",$A247&amp;"|"&amp;COUNTIF($A$2:$A247,$A247))</f>
        <v/>
      </c>
    </row>
    <row r="248">
      <c r="A248" s="18" t="n"/>
      <c r="B248" s="18" t="n"/>
      <c r="C248" s="18" t="n"/>
      <c r="D248" s="30" t="n"/>
      <c r="E248" s="18" t="n"/>
      <c r="F248" s="5" t="n"/>
      <c r="G248">
        <f>IF($A248="","",$A248&amp;"|"&amp;COUNTIF($A$2:$A248,$A248))</f>
        <v/>
      </c>
    </row>
    <row r="249">
      <c r="A249" s="18" t="n"/>
      <c r="B249" s="18" t="n"/>
      <c r="C249" s="18" t="n"/>
      <c r="D249" s="30" t="n"/>
      <c r="E249" s="18" t="n"/>
      <c r="F249" s="5" t="n"/>
      <c r="G249">
        <f>IF($A249="","",$A249&amp;"|"&amp;COUNTIF($A$2:$A249,$A249))</f>
        <v/>
      </c>
    </row>
    <row r="250">
      <c r="A250" s="18" t="n"/>
      <c r="B250" s="18" t="n"/>
      <c r="C250" s="18" t="n"/>
      <c r="D250" s="30" t="n"/>
      <c r="E250" s="18" t="n"/>
      <c r="F250" s="5" t="n"/>
      <c r="G250">
        <f>IF($A250="","",$A250&amp;"|"&amp;COUNTIF($A$2:$A250,$A250))</f>
        <v/>
      </c>
    </row>
    <row r="251">
      <c r="A251" s="18" t="n"/>
      <c r="B251" s="18" t="n"/>
      <c r="C251" s="18" t="n"/>
      <c r="D251" s="30" t="n"/>
      <c r="E251" s="18" t="n"/>
      <c r="F251" s="5" t="n"/>
      <c r="G251">
        <f>IF($A251="","",$A251&amp;"|"&amp;COUNTIF($A$2:$A251,$A251))</f>
        <v/>
      </c>
    </row>
    <row r="252">
      <c r="A252" s="18" t="n"/>
      <c r="B252" s="18" t="n"/>
      <c r="C252" s="18" t="n"/>
      <c r="D252" s="30" t="n"/>
      <c r="E252" s="18" t="n"/>
      <c r="F252" s="5" t="n"/>
      <c r="G252">
        <f>IF($A252="","",$A252&amp;"|"&amp;COUNTIF($A$2:$A252,$A252))</f>
        <v/>
      </c>
    </row>
    <row r="253">
      <c r="A253" s="18" t="n"/>
      <c r="B253" s="18" t="n"/>
      <c r="C253" s="18" t="n"/>
      <c r="D253" s="30" t="n"/>
      <c r="E253" s="18" t="n"/>
      <c r="F253" s="5" t="n"/>
      <c r="G253">
        <f>IF($A253="","",$A253&amp;"|"&amp;COUNTIF($A$2:$A253,$A253))</f>
        <v/>
      </c>
    </row>
    <row r="254">
      <c r="A254" s="18" t="n"/>
      <c r="B254" s="18" t="n"/>
      <c r="C254" s="18" t="n"/>
      <c r="D254" s="30" t="n"/>
      <c r="E254" s="18" t="n"/>
      <c r="F254" s="5" t="n"/>
      <c r="G254">
        <f>IF($A254="","",$A254&amp;"|"&amp;COUNTIF($A$2:$A254,$A254))</f>
        <v/>
      </c>
    </row>
    <row r="255">
      <c r="A255" s="18" t="n"/>
      <c r="B255" s="18" t="n"/>
      <c r="C255" s="18" t="n"/>
      <c r="D255" s="30" t="n"/>
      <c r="E255" s="18" t="n"/>
      <c r="F255" s="5" t="n"/>
      <c r="G255">
        <f>IF($A255="","",$A255&amp;"|"&amp;COUNTIF($A$2:$A255,$A255))</f>
        <v/>
      </c>
    </row>
    <row r="256">
      <c r="A256" s="18" t="n"/>
      <c r="B256" s="18" t="n"/>
      <c r="C256" s="18" t="n"/>
      <c r="D256" s="30" t="n"/>
      <c r="E256" s="18" t="n"/>
      <c r="F256" s="5" t="n"/>
      <c r="G256">
        <f>IF($A256="","",$A256&amp;"|"&amp;COUNTIF($A$2:$A256,$A256))</f>
        <v/>
      </c>
    </row>
    <row r="257">
      <c r="A257" s="18" t="n"/>
      <c r="B257" s="18" t="n"/>
      <c r="C257" s="18" t="n"/>
      <c r="D257" s="30" t="n"/>
      <c r="E257" s="18" t="n"/>
      <c r="F257" s="5" t="n"/>
      <c r="G257">
        <f>IF($A257="","",$A257&amp;"|"&amp;COUNTIF($A$2:$A257,$A257))</f>
        <v/>
      </c>
    </row>
    <row r="258">
      <c r="A258" s="18" t="n"/>
      <c r="B258" s="18" t="n"/>
      <c r="C258" s="18" t="n"/>
      <c r="D258" s="30" t="n"/>
      <c r="E258" s="18" t="n"/>
      <c r="F258" s="5" t="n"/>
      <c r="G258">
        <f>IF($A258="","",$A258&amp;"|"&amp;COUNTIF($A$2:$A258,$A258))</f>
        <v/>
      </c>
    </row>
    <row r="259">
      <c r="A259" s="18" t="n"/>
      <c r="B259" s="18" t="n"/>
      <c r="C259" s="18" t="n"/>
      <c r="D259" s="30" t="n"/>
      <c r="E259" s="18" t="n"/>
      <c r="F259" s="5" t="n"/>
      <c r="G259">
        <f>IF($A259="","",$A259&amp;"|"&amp;COUNTIF($A$2:$A259,$A259))</f>
        <v/>
      </c>
    </row>
    <row r="260">
      <c r="A260" s="18" t="n"/>
      <c r="B260" s="18" t="n"/>
      <c r="C260" s="18" t="n"/>
      <c r="D260" s="30" t="n"/>
      <c r="E260" s="18" t="n"/>
      <c r="F260" s="5" t="n"/>
      <c r="G260">
        <f>IF($A260="","",$A260&amp;"|"&amp;COUNTIF($A$2:$A260,$A260))</f>
        <v/>
      </c>
    </row>
    <row r="261">
      <c r="A261" s="18" t="n"/>
      <c r="B261" s="18" t="n"/>
      <c r="C261" s="18" t="n"/>
      <c r="D261" s="30" t="n"/>
      <c r="E261" s="18" t="n"/>
      <c r="F261" s="5" t="n"/>
      <c r="G261">
        <f>IF($A261="","",$A261&amp;"|"&amp;COUNTIF($A$2:$A261,$A261))</f>
        <v/>
      </c>
    </row>
    <row r="262">
      <c r="A262" s="18" t="n"/>
      <c r="B262" s="18" t="n"/>
      <c r="C262" s="18" t="n"/>
      <c r="D262" s="30" t="n"/>
      <c r="E262" s="18" t="n"/>
      <c r="F262" s="5" t="n"/>
      <c r="G262">
        <f>IF($A262="","",$A262&amp;"|"&amp;COUNTIF($A$2:$A262,$A262))</f>
        <v/>
      </c>
    </row>
    <row r="263">
      <c r="A263" s="18" t="n"/>
      <c r="B263" s="18" t="n"/>
      <c r="C263" s="18" t="n"/>
      <c r="D263" s="30" t="n"/>
      <c r="E263" s="18" t="n"/>
      <c r="F263" s="5" t="n"/>
      <c r="G263">
        <f>IF($A263="","",$A263&amp;"|"&amp;COUNTIF($A$2:$A263,$A263))</f>
        <v/>
      </c>
    </row>
    <row r="264">
      <c r="A264" s="18" t="n"/>
      <c r="B264" s="18" t="n"/>
      <c r="C264" s="18" t="n"/>
      <c r="D264" s="30" t="n"/>
      <c r="E264" s="18" t="n"/>
      <c r="F264" s="5" t="n"/>
      <c r="G264">
        <f>IF($A264="","",$A264&amp;"|"&amp;COUNTIF($A$2:$A264,$A264))</f>
        <v/>
      </c>
    </row>
    <row r="265">
      <c r="A265" s="18" t="n"/>
      <c r="B265" s="18" t="n"/>
      <c r="C265" s="18" t="n"/>
      <c r="D265" s="30" t="n"/>
      <c r="E265" s="18" t="n"/>
      <c r="F265" s="5" t="n"/>
      <c r="G265">
        <f>IF($A265="","",$A265&amp;"|"&amp;COUNTIF($A$2:$A265,$A265))</f>
        <v/>
      </c>
    </row>
    <row r="266">
      <c r="A266" s="18" t="n"/>
      <c r="B266" s="18" t="n"/>
      <c r="C266" s="18" t="n"/>
      <c r="D266" s="30" t="n"/>
      <c r="E266" s="18" t="n"/>
      <c r="F266" s="5" t="n"/>
      <c r="G266">
        <f>IF($A266="","",$A266&amp;"|"&amp;COUNTIF($A$2:$A266,$A266))</f>
        <v/>
      </c>
    </row>
    <row r="267">
      <c r="A267" s="18" t="n"/>
      <c r="B267" s="18" t="n"/>
      <c r="C267" s="18" t="n"/>
      <c r="D267" s="30" t="n"/>
      <c r="E267" s="18" t="n"/>
      <c r="F267" s="5" t="n"/>
      <c r="G267">
        <f>IF($A267="","",$A267&amp;"|"&amp;COUNTIF($A$2:$A267,$A267))</f>
        <v/>
      </c>
    </row>
    <row r="268">
      <c r="A268" s="18" t="n"/>
      <c r="B268" s="18" t="n"/>
      <c r="C268" s="18" t="n"/>
      <c r="D268" s="30" t="n"/>
      <c r="E268" s="18" t="n"/>
      <c r="F268" s="5" t="n"/>
      <c r="G268">
        <f>IF($A268="","",$A268&amp;"|"&amp;COUNTIF($A$2:$A268,$A268))</f>
        <v/>
      </c>
    </row>
    <row r="269">
      <c r="A269" s="18" t="n"/>
      <c r="B269" s="18" t="n"/>
      <c r="C269" s="18" t="n"/>
      <c r="D269" s="30" t="n"/>
      <c r="E269" s="18" t="n"/>
      <c r="F269" s="5" t="n"/>
      <c r="G269">
        <f>IF($A269="","",$A269&amp;"|"&amp;COUNTIF($A$2:$A269,$A269))</f>
        <v/>
      </c>
    </row>
    <row r="270">
      <c r="A270" s="18" t="n"/>
      <c r="B270" s="18" t="n"/>
      <c r="C270" s="18" t="n"/>
      <c r="D270" s="30" t="n"/>
      <c r="E270" s="18" t="n"/>
      <c r="F270" s="5" t="n"/>
      <c r="G270">
        <f>IF($A270="","",$A270&amp;"|"&amp;COUNTIF($A$2:$A270,$A270))</f>
        <v/>
      </c>
    </row>
    <row r="271">
      <c r="A271" s="18" t="n"/>
      <c r="B271" s="18" t="n"/>
      <c r="C271" s="18" t="n"/>
      <c r="D271" s="30" t="n"/>
      <c r="E271" s="18" t="n"/>
      <c r="F271" s="5" t="n"/>
      <c r="G271">
        <f>IF($A271="","",$A271&amp;"|"&amp;COUNTIF($A$2:$A271,$A271))</f>
        <v/>
      </c>
    </row>
    <row r="272">
      <c r="A272" s="18" t="n"/>
      <c r="B272" s="18" t="n"/>
      <c r="C272" s="18" t="n"/>
      <c r="D272" s="30" t="n"/>
      <c r="E272" s="18" t="n"/>
      <c r="F272" s="5" t="n"/>
      <c r="G272">
        <f>IF($A272="","",$A272&amp;"|"&amp;COUNTIF($A$2:$A272,$A272))</f>
        <v/>
      </c>
    </row>
    <row r="273">
      <c r="A273" s="18" t="n"/>
      <c r="B273" s="18" t="n"/>
      <c r="C273" s="18" t="n"/>
      <c r="D273" s="30" t="n"/>
      <c r="E273" s="18" t="n"/>
      <c r="F273" s="5" t="n"/>
      <c r="G273">
        <f>IF($A273="","",$A273&amp;"|"&amp;COUNTIF($A$2:$A273,$A273))</f>
        <v/>
      </c>
    </row>
    <row r="274">
      <c r="A274" s="18" t="n"/>
      <c r="B274" s="18" t="n"/>
      <c r="C274" s="18" t="n"/>
      <c r="D274" s="30" t="n"/>
      <c r="E274" s="18" t="n"/>
      <c r="F274" s="5" t="n"/>
      <c r="G274">
        <f>IF($A274="","",$A274&amp;"|"&amp;COUNTIF($A$2:$A274,$A274))</f>
        <v/>
      </c>
    </row>
    <row r="275">
      <c r="A275" s="18" t="n"/>
      <c r="B275" s="18" t="n"/>
      <c r="C275" s="18" t="n"/>
      <c r="D275" s="30" t="n"/>
      <c r="E275" s="18" t="n"/>
      <c r="F275" s="5" t="n"/>
      <c r="G275">
        <f>IF($A275="","",$A275&amp;"|"&amp;COUNTIF($A$2:$A275,$A275))</f>
        <v/>
      </c>
    </row>
    <row r="276">
      <c r="A276" s="18" t="n"/>
      <c r="B276" s="18" t="n"/>
      <c r="C276" s="18" t="n"/>
      <c r="D276" s="30" t="n"/>
      <c r="E276" s="18" t="n"/>
      <c r="F276" s="5" t="n"/>
      <c r="G276">
        <f>IF($A276="","",$A276&amp;"|"&amp;COUNTIF($A$2:$A276,$A276))</f>
        <v/>
      </c>
    </row>
    <row r="277">
      <c r="A277" s="18" t="n"/>
      <c r="B277" s="18" t="n"/>
      <c r="C277" s="18" t="n"/>
      <c r="D277" s="30" t="n"/>
      <c r="E277" s="18" t="n"/>
      <c r="F277" s="5" t="n"/>
      <c r="G277">
        <f>IF($A277="","",$A277&amp;"|"&amp;COUNTIF($A$2:$A277,$A277))</f>
        <v/>
      </c>
    </row>
    <row r="278">
      <c r="A278" s="18" t="n"/>
      <c r="B278" s="18" t="n"/>
      <c r="C278" s="18" t="n"/>
      <c r="D278" s="30" t="n"/>
      <c r="E278" s="18" t="n"/>
      <c r="F278" s="5" t="n"/>
      <c r="G278">
        <f>IF($A278="","",$A278&amp;"|"&amp;COUNTIF($A$2:$A278,$A278))</f>
        <v/>
      </c>
    </row>
    <row r="279">
      <c r="A279" s="18" t="n"/>
      <c r="B279" s="18" t="n"/>
      <c r="C279" s="18" t="n"/>
      <c r="D279" s="30" t="n"/>
      <c r="E279" s="18" t="n"/>
      <c r="F279" s="5" t="n"/>
      <c r="G279">
        <f>IF($A279="","",$A279&amp;"|"&amp;COUNTIF($A$2:$A279,$A279))</f>
        <v/>
      </c>
    </row>
    <row r="280">
      <c r="A280" s="18" t="n"/>
      <c r="B280" s="18" t="n"/>
      <c r="C280" s="18" t="n"/>
      <c r="D280" s="30" t="n"/>
      <c r="E280" s="18" t="n"/>
      <c r="F280" s="5" t="n"/>
      <c r="G280">
        <f>IF($A280="","",$A280&amp;"|"&amp;COUNTIF($A$2:$A280,$A280))</f>
        <v/>
      </c>
    </row>
    <row r="281">
      <c r="A281" s="18" t="n"/>
      <c r="B281" s="18" t="n"/>
      <c r="C281" s="18" t="n"/>
      <c r="D281" s="30" t="n"/>
      <c r="E281" s="18" t="n"/>
      <c r="F281" s="5" t="n"/>
      <c r="G281">
        <f>IF($A281="","",$A281&amp;"|"&amp;COUNTIF($A$2:$A281,$A281))</f>
        <v/>
      </c>
    </row>
    <row r="282">
      <c r="A282" s="18" t="n"/>
      <c r="B282" s="18" t="n"/>
      <c r="C282" s="18" t="n"/>
      <c r="D282" s="30" t="n"/>
      <c r="E282" s="18" t="n"/>
      <c r="F282" s="5" t="n"/>
      <c r="G282">
        <f>IF($A282="","",$A282&amp;"|"&amp;COUNTIF($A$2:$A282,$A282))</f>
        <v/>
      </c>
    </row>
    <row r="283">
      <c r="A283" s="18" t="n"/>
      <c r="B283" s="18" t="n"/>
      <c r="C283" s="18" t="n"/>
      <c r="D283" s="30" t="n"/>
      <c r="E283" s="18" t="n"/>
      <c r="F283" s="5" t="n"/>
      <c r="G283">
        <f>IF($A283="","",$A283&amp;"|"&amp;COUNTIF($A$2:$A283,$A283))</f>
        <v/>
      </c>
    </row>
    <row r="284">
      <c r="A284" s="18" t="n"/>
      <c r="B284" s="18" t="n"/>
      <c r="C284" s="18" t="n"/>
      <c r="D284" s="30" t="n"/>
      <c r="E284" s="18" t="n"/>
      <c r="F284" s="5" t="n"/>
      <c r="G284">
        <f>IF($A284="","",$A284&amp;"|"&amp;COUNTIF($A$2:$A284,$A284))</f>
        <v/>
      </c>
    </row>
    <row r="285">
      <c r="A285" s="18" t="n"/>
      <c r="B285" s="18" t="n"/>
      <c r="C285" s="18" t="n"/>
      <c r="D285" s="30" t="n"/>
      <c r="E285" s="18" t="n"/>
      <c r="F285" s="5" t="n"/>
      <c r="G285">
        <f>IF($A285="","",$A285&amp;"|"&amp;COUNTIF($A$2:$A285,$A285))</f>
        <v/>
      </c>
    </row>
    <row r="286">
      <c r="A286" s="18" t="n"/>
      <c r="B286" s="18" t="n"/>
      <c r="C286" s="18" t="n"/>
      <c r="D286" s="30" t="n"/>
      <c r="E286" s="18" t="n"/>
      <c r="F286" s="5" t="n"/>
      <c r="G286">
        <f>IF($A286="","",$A286&amp;"|"&amp;COUNTIF($A$2:$A286,$A286))</f>
        <v/>
      </c>
    </row>
    <row r="287">
      <c r="A287" s="18" t="n"/>
      <c r="B287" s="18" t="n"/>
      <c r="C287" s="18" t="n"/>
      <c r="D287" s="30" t="n"/>
      <c r="E287" s="18" t="n"/>
      <c r="F287" s="5" t="n"/>
      <c r="G287">
        <f>IF($A287="","",$A287&amp;"|"&amp;COUNTIF($A$2:$A287,$A287))</f>
        <v/>
      </c>
    </row>
    <row r="288">
      <c r="A288" s="18" t="n"/>
      <c r="B288" s="18" t="n"/>
      <c r="C288" s="18" t="n"/>
      <c r="D288" s="30" t="n"/>
      <c r="E288" s="18" t="n"/>
      <c r="F288" s="5" t="n"/>
      <c r="G288">
        <f>IF($A288="","",$A288&amp;"|"&amp;COUNTIF($A$2:$A288,$A288))</f>
        <v/>
      </c>
    </row>
    <row r="289">
      <c r="A289" s="18" t="n"/>
      <c r="B289" s="18" t="n"/>
      <c r="C289" s="18" t="n"/>
      <c r="D289" s="30" t="n"/>
      <c r="E289" s="18" t="n"/>
      <c r="F289" s="5" t="n"/>
      <c r="G289">
        <f>IF($A289="","",$A289&amp;"|"&amp;COUNTIF($A$2:$A289,$A289))</f>
        <v/>
      </c>
    </row>
    <row r="290">
      <c r="A290" s="18" t="n"/>
      <c r="B290" s="18" t="n"/>
      <c r="C290" s="18" t="n"/>
      <c r="D290" s="30" t="n"/>
      <c r="E290" s="18" t="n"/>
      <c r="F290" s="5" t="n"/>
      <c r="G290">
        <f>IF($A290="","",$A290&amp;"|"&amp;COUNTIF($A$2:$A290,$A290))</f>
        <v/>
      </c>
    </row>
    <row r="291">
      <c r="A291" s="18" t="n"/>
      <c r="B291" s="18" t="n"/>
      <c r="C291" s="18" t="n"/>
      <c r="D291" s="30" t="n"/>
      <c r="E291" s="18" t="n"/>
      <c r="F291" s="5" t="n"/>
      <c r="G291">
        <f>IF($A291="","",$A291&amp;"|"&amp;COUNTIF($A$2:$A291,$A291))</f>
        <v/>
      </c>
    </row>
    <row r="292">
      <c r="A292" s="18" t="n"/>
      <c r="B292" s="18" t="n"/>
      <c r="C292" s="18" t="n"/>
      <c r="D292" s="30" t="n"/>
      <c r="E292" s="18" t="n"/>
      <c r="F292" s="5" t="n"/>
      <c r="G292">
        <f>IF($A292="","",$A292&amp;"|"&amp;COUNTIF($A$2:$A292,$A292))</f>
        <v/>
      </c>
    </row>
    <row r="293">
      <c r="A293" s="18" t="n"/>
      <c r="B293" s="18" t="n"/>
      <c r="C293" s="18" t="n"/>
      <c r="D293" s="30" t="n"/>
      <c r="E293" s="18" t="n"/>
      <c r="F293" s="5" t="n"/>
      <c r="G293">
        <f>IF($A293="","",$A293&amp;"|"&amp;COUNTIF($A$2:$A293,$A293))</f>
        <v/>
      </c>
    </row>
    <row r="294">
      <c r="A294" s="18" t="n"/>
      <c r="B294" s="18" t="n"/>
      <c r="C294" s="18" t="n"/>
      <c r="D294" s="30" t="n"/>
      <c r="E294" s="18" t="n"/>
      <c r="F294" s="5" t="n"/>
      <c r="G294">
        <f>IF($A294="","",$A294&amp;"|"&amp;COUNTIF($A$2:$A294,$A294))</f>
        <v/>
      </c>
    </row>
    <row r="295">
      <c r="A295" s="18" t="n"/>
      <c r="B295" s="18" t="n"/>
      <c r="C295" s="18" t="n"/>
      <c r="D295" s="30" t="n"/>
      <c r="E295" s="18" t="n"/>
      <c r="F295" s="5" t="n"/>
      <c r="G295">
        <f>IF($A295="","",$A295&amp;"|"&amp;COUNTIF($A$2:$A295,$A295))</f>
        <v/>
      </c>
    </row>
    <row r="296">
      <c r="A296" s="18" t="n"/>
      <c r="B296" s="18" t="n"/>
      <c r="C296" s="18" t="n"/>
      <c r="D296" s="30" t="n"/>
      <c r="E296" s="18" t="n"/>
      <c r="F296" s="5" t="n"/>
      <c r="G296">
        <f>IF($A296="","",$A296&amp;"|"&amp;COUNTIF($A$2:$A296,$A296))</f>
        <v/>
      </c>
    </row>
    <row r="297">
      <c r="A297" s="18" t="n"/>
      <c r="B297" s="18" t="n"/>
      <c r="C297" s="18" t="n"/>
      <c r="D297" s="30" t="n"/>
      <c r="E297" s="18" t="n"/>
      <c r="F297" s="5" t="n"/>
      <c r="G297">
        <f>IF($A297="","",$A297&amp;"|"&amp;COUNTIF($A$2:$A297,$A297))</f>
        <v/>
      </c>
    </row>
    <row r="298">
      <c r="A298" s="18" t="n"/>
      <c r="B298" s="18" t="n"/>
      <c r="C298" s="18" t="n"/>
      <c r="D298" s="30" t="n"/>
      <c r="E298" s="18" t="n"/>
      <c r="F298" s="5" t="n"/>
      <c r="G298">
        <f>IF($A298="","",$A298&amp;"|"&amp;COUNTIF($A$2:$A298,$A298))</f>
        <v/>
      </c>
    </row>
    <row r="299">
      <c r="A299" s="18" t="n"/>
      <c r="B299" s="18" t="n"/>
      <c r="C299" s="18" t="n"/>
      <c r="D299" s="30" t="n"/>
      <c r="E299" s="18" t="n"/>
      <c r="F299" s="5" t="n"/>
      <c r="G299">
        <f>IF($A299="","",$A299&amp;"|"&amp;COUNTIF($A$2:$A299,$A299))</f>
        <v/>
      </c>
    </row>
    <row r="300">
      <c r="A300" s="18" t="n"/>
      <c r="B300" s="18" t="n"/>
      <c r="C300" s="18" t="n"/>
      <c r="D300" s="30" t="n"/>
      <c r="E300" s="18" t="n"/>
      <c r="F300" s="5" t="n"/>
      <c r="G300">
        <f>IF($A300="","",$A300&amp;"|"&amp;COUNTIF($A$2:$A300,$A300))</f>
        <v/>
      </c>
    </row>
    <row r="301">
      <c r="A301" s="18" t="n"/>
      <c r="B301" s="18" t="n"/>
      <c r="C301" s="18" t="n"/>
      <c r="D301" s="30" t="n"/>
      <c r="E301" s="18" t="n"/>
      <c r="F301" s="5" t="n"/>
      <c r="G301">
        <f>IF($A301="","",$A301&amp;"|"&amp;COUNTIF($A$2:$A301,$A301))</f>
        <v/>
      </c>
    </row>
    <row r="302">
      <c r="A302" s="18" t="n"/>
      <c r="B302" s="18" t="n"/>
      <c r="C302" s="18" t="n"/>
      <c r="D302" s="30" t="n"/>
      <c r="E302" s="18" t="n"/>
      <c r="F302" s="5" t="n"/>
      <c r="G302">
        <f>IF($A302="","",$A302&amp;"|"&amp;COUNTIF($A$2:$A302,$A302))</f>
        <v/>
      </c>
    </row>
    <row r="303">
      <c r="A303" s="18" t="n"/>
      <c r="B303" s="18" t="n"/>
      <c r="C303" s="18" t="n"/>
      <c r="D303" s="30" t="n"/>
      <c r="E303" s="18" t="n"/>
      <c r="F303" s="5" t="n"/>
      <c r="G303">
        <f>IF($A303="","",$A303&amp;"|"&amp;COUNTIF($A$2:$A303,$A303))</f>
        <v/>
      </c>
    </row>
    <row r="304">
      <c r="A304" s="18" t="n"/>
      <c r="B304" s="18" t="n"/>
      <c r="C304" s="18" t="n"/>
      <c r="D304" s="30" t="n"/>
      <c r="E304" s="18" t="n"/>
      <c r="F304" s="5" t="n"/>
      <c r="G304">
        <f>IF($A304="","",$A304&amp;"|"&amp;COUNTIF($A$2:$A304,$A304))</f>
        <v/>
      </c>
    </row>
    <row r="305">
      <c r="A305" s="18" t="n"/>
      <c r="B305" s="18" t="n"/>
      <c r="C305" s="18" t="n"/>
      <c r="D305" s="30" t="n"/>
      <c r="E305" s="18" t="n"/>
      <c r="F305" s="5" t="n"/>
      <c r="G305">
        <f>IF($A305="","",$A305&amp;"|"&amp;COUNTIF($A$2:$A305,$A305))</f>
        <v/>
      </c>
    </row>
    <row r="306">
      <c r="A306" s="18" t="n"/>
      <c r="B306" s="18" t="n"/>
      <c r="C306" s="18" t="n"/>
      <c r="D306" s="30" t="n"/>
      <c r="E306" s="18" t="n"/>
      <c r="F306" s="5" t="n"/>
      <c r="G306">
        <f>IF($A306="","",$A306&amp;"|"&amp;COUNTIF($A$2:$A306,$A306))</f>
        <v/>
      </c>
    </row>
    <row r="307">
      <c r="A307" s="18" t="n"/>
      <c r="B307" s="18" t="n"/>
      <c r="C307" s="18" t="n"/>
      <c r="D307" s="30" t="n"/>
      <c r="E307" s="18" t="n"/>
      <c r="F307" s="5" t="n"/>
      <c r="G307">
        <f>IF($A307="","",$A307&amp;"|"&amp;COUNTIF($A$2:$A307,$A307))</f>
        <v/>
      </c>
    </row>
    <row r="308">
      <c r="A308" s="18" t="n"/>
      <c r="B308" s="18" t="n"/>
      <c r="C308" s="18" t="n"/>
      <c r="D308" s="30" t="n"/>
      <c r="E308" s="18" t="n"/>
      <c r="F308" s="5" t="n"/>
      <c r="G308">
        <f>IF($A308="","",$A308&amp;"|"&amp;COUNTIF($A$2:$A308,$A308))</f>
        <v/>
      </c>
    </row>
    <row r="309">
      <c r="A309" s="18" t="n"/>
      <c r="B309" s="18" t="n"/>
      <c r="C309" s="18" t="n"/>
      <c r="D309" s="30" t="n"/>
      <c r="E309" s="18" t="n"/>
      <c r="F309" s="5" t="n"/>
      <c r="G309">
        <f>IF($A309="","",$A309&amp;"|"&amp;COUNTIF($A$2:$A309,$A309))</f>
        <v/>
      </c>
    </row>
    <row r="310">
      <c r="A310" s="18" t="n"/>
      <c r="B310" s="18" t="n"/>
      <c r="C310" s="18" t="n"/>
      <c r="D310" s="30" t="n"/>
      <c r="E310" s="18" t="n"/>
      <c r="F310" s="5" t="n"/>
      <c r="G310">
        <f>IF($A310="","",$A310&amp;"|"&amp;COUNTIF($A$2:$A310,$A310))</f>
        <v/>
      </c>
    </row>
    <row r="311">
      <c r="A311" s="18" t="n"/>
      <c r="B311" s="18" t="n"/>
      <c r="C311" s="18" t="n"/>
      <c r="D311" s="30" t="n"/>
      <c r="E311" s="18" t="n"/>
      <c r="F311" s="5" t="n"/>
      <c r="G311">
        <f>IF($A311="","",$A311&amp;"|"&amp;COUNTIF($A$2:$A311,$A311))</f>
        <v/>
      </c>
    </row>
    <row r="312">
      <c r="A312" s="18" t="n"/>
      <c r="B312" s="18" t="n"/>
      <c r="C312" s="18" t="n"/>
      <c r="D312" s="30" t="n"/>
      <c r="E312" s="18" t="n"/>
      <c r="F312" s="5" t="n"/>
      <c r="G312">
        <f>IF($A312="","",$A312&amp;"|"&amp;COUNTIF($A$2:$A312,$A312))</f>
        <v/>
      </c>
    </row>
    <row r="313">
      <c r="A313" s="18" t="n"/>
      <c r="B313" s="18" t="n"/>
      <c r="C313" s="18" t="n"/>
      <c r="D313" s="30" t="n"/>
      <c r="E313" s="18" t="n"/>
      <c r="F313" s="5" t="n"/>
      <c r="G313">
        <f>IF($A313="","",$A313&amp;"|"&amp;COUNTIF($A$2:$A313,$A313))</f>
        <v/>
      </c>
    </row>
    <row r="314">
      <c r="A314" s="18" t="n"/>
      <c r="B314" s="18" t="n"/>
      <c r="C314" s="18" t="n"/>
      <c r="D314" s="30" t="n"/>
      <c r="E314" s="18" t="n"/>
      <c r="F314" s="5" t="n"/>
      <c r="G314">
        <f>IF($A314="","",$A314&amp;"|"&amp;COUNTIF($A$2:$A314,$A314))</f>
        <v/>
      </c>
    </row>
    <row r="315">
      <c r="A315" s="18" t="n"/>
      <c r="B315" s="18" t="n"/>
      <c r="C315" s="18" t="n"/>
      <c r="D315" s="30" t="n"/>
      <c r="E315" s="18" t="n"/>
      <c r="F315" s="5" t="n"/>
      <c r="G315">
        <f>IF($A315="","",$A315&amp;"|"&amp;COUNTIF($A$2:$A315,$A315))</f>
        <v/>
      </c>
    </row>
    <row r="316">
      <c r="A316" s="18" t="n"/>
      <c r="B316" s="18" t="n"/>
      <c r="C316" s="18" t="n"/>
      <c r="D316" s="30" t="n"/>
      <c r="E316" s="18" t="n"/>
      <c r="F316" s="5" t="n"/>
      <c r="G316">
        <f>IF($A316="","",$A316&amp;"|"&amp;COUNTIF($A$2:$A316,$A316))</f>
        <v/>
      </c>
    </row>
    <row r="317">
      <c r="A317" s="18" t="n"/>
      <c r="B317" s="18" t="n"/>
      <c r="C317" s="18" t="n"/>
      <c r="D317" s="30" t="n"/>
      <c r="E317" s="18" t="n"/>
      <c r="F317" s="5" t="n"/>
      <c r="G317">
        <f>IF($A317="","",$A317&amp;"|"&amp;COUNTIF($A$2:$A317,$A317))</f>
        <v/>
      </c>
    </row>
    <row r="318">
      <c r="A318" s="18" t="n"/>
      <c r="B318" s="18" t="n"/>
      <c r="C318" s="18" t="n"/>
      <c r="D318" s="30" t="n"/>
      <c r="E318" s="18" t="n"/>
      <c r="F318" s="5" t="n"/>
      <c r="G318">
        <f>IF($A318="","",$A318&amp;"|"&amp;COUNTIF($A$2:$A318,$A318))</f>
        <v/>
      </c>
    </row>
    <row r="319">
      <c r="A319" s="18" t="n"/>
      <c r="B319" s="18" t="n"/>
      <c r="C319" s="18" t="n"/>
      <c r="D319" s="30" t="n"/>
      <c r="E319" s="18" t="n"/>
      <c r="F319" s="5" t="n"/>
      <c r="G319">
        <f>IF($A319="","",$A319&amp;"|"&amp;COUNTIF($A$2:$A319,$A319))</f>
        <v/>
      </c>
    </row>
    <row r="320">
      <c r="A320" s="18" t="n"/>
      <c r="B320" s="18" t="n"/>
      <c r="C320" s="18" t="n"/>
      <c r="D320" s="30" t="n"/>
      <c r="E320" s="18" t="n"/>
      <c r="F320" s="5" t="n"/>
      <c r="G320">
        <f>IF($A320="","",$A320&amp;"|"&amp;COUNTIF($A$2:$A320,$A320))</f>
        <v/>
      </c>
    </row>
    <row r="321">
      <c r="A321" s="18" t="n"/>
      <c r="B321" s="18" t="n"/>
      <c r="C321" s="18" t="n"/>
      <c r="D321" s="30" t="n"/>
      <c r="E321" s="18" t="n"/>
      <c r="F321" s="5" t="n"/>
      <c r="G321">
        <f>IF($A321="","",$A321&amp;"|"&amp;COUNTIF($A$2:$A321,$A321))</f>
        <v/>
      </c>
    </row>
    <row r="322">
      <c r="A322" s="18" t="n"/>
      <c r="B322" s="18" t="n"/>
      <c r="C322" s="18" t="n"/>
      <c r="D322" s="30" t="n"/>
      <c r="E322" s="18" t="n"/>
      <c r="F322" s="5" t="n"/>
      <c r="G322">
        <f>IF($A322="","",$A322&amp;"|"&amp;COUNTIF($A$2:$A322,$A322))</f>
        <v/>
      </c>
    </row>
    <row r="323">
      <c r="A323" s="18" t="n"/>
      <c r="B323" s="18" t="n"/>
      <c r="C323" s="18" t="n"/>
      <c r="D323" s="30" t="n"/>
      <c r="E323" s="18" t="n"/>
      <c r="F323" s="5" t="n"/>
      <c r="G323">
        <f>IF($A323="","",$A323&amp;"|"&amp;COUNTIF($A$2:$A323,$A323))</f>
        <v/>
      </c>
    </row>
    <row r="324">
      <c r="A324" s="18" t="n"/>
      <c r="B324" s="18" t="n"/>
      <c r="C324" s="18" t="n"/>
      <c r="D324" s="30" t="n"/>
      <c r="E324" s="18" t="n"/>
      <c r="F324" s="5" t="n"/>
      <c r="G324">
        <f>IF($A324="","",$A324&amp;"|"&amp;COUNTIF($A$2:$A324,$A324))</f>
        <v/>
      </c>
    </row>
    <row r="325">
      <c r="A325" s="18" t="n"/>
      <c r="B325" s="18" t="n"/>
      <c r="C325" s="18" t="n"/>
      <c r="D325" s="30" t="n"/>
      <c r="E325" s="18" t="n"/>
      <c r="F325" s="5" t="n"/>
      <c r="G325">
        <f>IF($A325="","",$A325&amp;"|"&amp;COUNTIF($A$2:$A325,$A325))</f>
        <v/>
      </c>
    </row>
    <row r="326">
      <c r="A326" s="18" t="n"/>
      <c r="B326" s="18" t="n"/>
      <c r="C326" s="18" t="n"/>
      <c r="D326" s="30" t="n"/>
      <c r="E326" s="18" t="n"/>
      <c r="F326" s="5" t="n"/>
      <c r="G326">
        <f>IF($A326="","",$A326&amp;"|"&amp;COUNTIF($A$2:$A326,$A326))</f>
        <v/>
      </c>
    </row>
    <row r="327">
      <c r="A327" s="18" t="n"/>
      <c r="B327" s="18" t="n"/>
      <c r="C327" s="18" t="n"/>
      <c r="D327" s="30" t="n"/>
      <c r="E327" s="18" t="n"/>
      <c r="F327" s="5" t="n"/>
      <c r="G327">
        <f>IF($A327="","",$A327&amp;"|"&amp;COUNTIF($A$2:$A327,$A327))</f>
        <v/>
      </c>
    </row>
    <row r="328">
      <c r="A328" s="18" t="n"/>
      <c r="B328" s="18" t="n"/>
      <c r="C328" s="18" t="n"/>
      <c r="D328" s="30" t="n"/>
      <c r="E328" s="18" t="n"/>
      <c r="F328" s="5" t="n"/>
      <c r="G328">
        <f>IF($A328="","",$A328&amp;"|"&amp;COUNTIF($A$2:$A328,$A328))</f>
        <v/>
      </c>
    </row>
    <row r="329">
      <c r="A329" s="18" t="n"/>
      <c r="B329" s="18" t="n"/>
      <c r="C329" s="18" t="n"/>
      <c r="D329" s="30" t="n"/>
      <c r="E329" s="18" t="n"/>
      <c r="F329" s="5" t="n"/>
      <c r="G329">
        <f>IF($A329="","",$A329&amp;"|"&amp;COUNTIF($A$2:$A329,$A329))</f>
        <v/>
      </c>
    </row>
    <row r="330">
      <c r="A330" s="18" t="n"/>
      <c r="B330" s="18" t="n"/>
      <c r="C330" s="18" t="n"/>
      <c r="D330" s="30" t="n"/>
      <c r="E330" s="18" t="n"/>
      <c r="F330" s="5" t="n"/>
      <c r="G330">
        <f>IF($A330="","",$A330&amp;"|"&amp;COUNTIF($A$2:$A330,$A330))</f>
        <v/>
      </c>
    </row>
    <row r="331">
      <c r="A331" s="18" t="n"/>
      <c r="B331" s="18" t="n"/>
      <c r="C331" s="18" t="n"/>
      <c r="D331" s="30" t="n"/>
      <c r="E331" s="18" t="n"/>
      <c r="F331" s="5" t="n"/>
      <c r="G331">
        <f>IF($A331="","",$A331&amp;"|"&amp;COUNTIF($A$2:$A331,$A331))</f>
        <v/>
      </c>
    </row>
    <row r="332">
      <c r="A332" s="18" t="n"/>
      <c r="B332" s="18" t="n"/>
      <c r="C332" s="18" t="n"/>
      <c r="D332" s="30" t="n"/>
      <c r="E332" s="18" t="n"/>
      <c r="F332" s="5" t="n"/>
      <c r="G332">
        <f>IF($A332="","",$A332&amp;"|"&amp;COUNTIF($A$2:$A332,$A332))</f>
        <v/>
      </c>
    </row>
    <row r="333">
      <c r="A333" s="18" t="n"/>
      <c r="B333" s="18" t="n"/>
      <c r="C333" s="18" t="n"/>
      <c r="D333" s="30" t="n"/>
      <c r="E333" s="18" t="n"/>
      <c r="F333" s="5" t="n"/>
      <c r="G333">
        <f>IF($A333="","",$A333&amp;"|"&amp;COUNTIF($A$2:$A333,$A333))</f>
        <v/>
      </c>
    </row>
    <row r="334">
      <c r="A334" s="18" t="n"/>
      <c r="B334" s="18" t="n"/>
      <c r="C334" s="18" t="n"/>
      <c r="D334" s="30" t="n"/>
      <c r="E334" s="18" t="n"/>
      <c r="F334" s="5" t="n"/>
      <c r="G334">
        <f>IF($A334="","",$A334&amp;"|"&amp;COUNTIF($A$2:$A334,$A334))</f>
        <v/>
      </c>
    </row>
    <row r="335">
      <c r="A335" s="18" t="n"/>
      <c r="B335" s="18" t="n"/>
      <c r="C335" s="18" t="n"/>
      <c r="D335" s="30" t="n"/>
      <c r="E335" s="18" t="n"/>
      <c r="F335" s="5" t="n"/>
      <c r="G335">
        <f>IF($A335="","",$A335&amp;"|"&amp;COUNTIF($A$2:$A335,$A335))</f>
        <v/>
      </c>
    </row>
    <row r="336">
      <c r="A336" s="18" t="n"/>
      <c r="B336" s="18" t="n"/>
      <c r="C336" s="18" t="n"/>
      <c r="D336" s="30" t="n"/>
      <c r="E336" s="18" t="n"/>
      <c r="F336" s="5" t="n"/>
      <c r="G336">
        <f>IF($A336="","",$A336&amp;"|"&amp;COUNTIF($A$2:$A336,$A336))</f>
        <v/>
      </c>
    </row>
    <row r="337">
      <c r="A337" s="18" t="n"/>
      <c r="B337" s="18" t="n"/>
      <c r="C337" s="18" t="n"/>
      <c r="D337" s="30" t="n"/>
      <c r="E337" s="18" t="n"/>
      <c r="F337" s="5" t="n"/>
      <c r="G337">
        <f>IF($A337="","",$A337&amp;"|"&amp;COUNTIF($A$2:$A337,$A337))</f>
        <v/>
      </c>
    </row>
    <row r="338">
      <c r="A338" s="18" t="n"/>
      <c r="B338" s="18" t="n"/>
      <c r="C338" s="18" t="n"/>
      <c r="D338" s="30" t="n"/>
      <c r="E338" s="18" t="n"/>
      <c r="F338" s="5" t="n"/>
      <c r="G338">
        <f>IF($A338="","",$A338&amp;"|"&amp;COUNTIF($A$2:$A338,$A338))</f>
        <v/>
      </c>
    </row>
    <row r="339">
      <c r="A339" s="18" t="n"/>
      <c r="B339" s="18" t="n"/>
      <c r="C339" s="18" t="n"/>
      <c r="D339" s="30" t="n"/>
      <c r="E339" s="18" t="n"/>
      <c r="F339" s="5" t="n"/>
      <c r="G339">
        <f>IF($A339="","",$A339&amp;"|"&amp;COUNTIF($A$2:$A339,$A339))</f>
        <v/>
      </c>
    </row>
    <row r="340">
      <c r="A340" s="18" t="n"/>
      <c r="B340" s="18" t="n"/>
      <c r="C340" s="18" t="n"/>
      <c r="D340" s="30" t="n"/>
      <c r="E340" s="18" t="n"/>
      <c r="F340" s="5" t="n"/>
      <c r="G340">
        <f>IF($A340="","",$A340&amp;"|"&amp;COUNTIF($A$2:$A340,$A340))</f>
        <v/>
      </c>
    </row>
    <row r="341">
      <c r="A341" s="18" t="n"/>
      <c r="B341" s="18" t="n"/>
      <c r="C341" s="18" t="n"/>
      <c r="D341" s="30" t="n"/>
      <c r="E341" s="18" t="n"/>
      <c r="F341" s="5" t="n"/>
      <c r="G341">
        <f>IF($A341="","",$A341&amp;"|"&amp;COUNTIF($A$2:$A341,$A341))</f>
        <v/>
      </c>
    </row>
    <row r="342">
      <c r="A342" s="18" t="n"/>
      <c r="B342" s="18" t="n"/>
      <c r="C342" s="18" t="n"/>
      <c r="D342" s="30" t="n"/>
      <c r="E342" s="18" t="n"/>
      <c r="F342" s="5" t="n"/>
      <c r="G342">
        <f>IF($A342="","",$A342&amp;"|"&amp;COUNTIF($A$2:$A342,$A342))</f>
        <v/>
      </c>
    </row>
    <row r="343">
      <c r="A343" s="18" t="n"/>
      <c r="B343" s="18" t="n"/>
      <c r="C343" s="18" t="n"/>
      <c r="D343" s="30" t="n"/>
      <c r="E343" s="18" t="n"/>
      <c r="F343" s="5" t="n"/>
      <c r="G343">
        <f>IF($A343="","",$A343&amp;"|"&amp;COUNTIF($A$2:$A343,$A343))</f>
        <v/>
      </c>
    </row>
    <row r="344">
      <c r="A344" s="18" t="n"/>
      <c r="B344" s="18" t="n"/>
      <c r="C344" s="18" t="n"/>
      <c r="D344" s="30" t="n"/>
      <c r="E344" s="18" t="n"/>
      <c r="F344" s="5" t="n"/>
      <c r="G344">
        <f>IF($A344="","",$A344&amp;"|"&amp;COUNTIF($A$2:$A344,$A344))</f>
        <v/>
      </c>
    </row>
    <row r="345">
      <c r="A345" s="18" t="n"/>
      <c r="B345" s="18" t="n"/>
      <c r="C345" s="18" t="n"/>
      <c r="D345" s="30" t="n"/>
      <c r="E345" s="18" t="n"/>
      <c r="F345" s="5" t="n"/>
      <c r="G345">
        <f>IF($A345="","",$A345&amp;"|"&amp;COUNTIF($A$2:$A345,$A345))</f>
        <v/>
      </c>
    </row>
    <row r="346">
      <c r="A346" s="18" t="n"/>
      <c r="B346" s="18" t="n"/>
      <c r="C346" s="18" t="n"/>
      <c r="D346" s="30" t="n"/>
      <c r="E346" s="18" t="n"/>
      <c r="F346" s="5" t="n"/>
      <c r="G346">
        <f>IF($A346="","",$A346&amp;"|"&amp;COUNTIF($A$2:$A346,$A346))</f>
        <v/>
      </c>
    </row>
    <row r="347">
      <c r="A347" s="18" t="n"/>
      <c r="B347" s="18" t="n"/>
      <c r="C347" s="18" t="n"/>
      <c r="D347" s="30" t="n"/>
      <c r="E347" s="18" t="n"/>
      <c r="F347" s="5" t="n"/>
      <c r="G347">
        <f>IF($A347="","",$A347&amp;"|"&amp;COUNTIF($A$2:$A347,$A347))</f>
        <v/>
      </c>
    </row>
    <row r="348">
      <c r="A348" s="18" t="n"/>
      <c r="B348" s="18" t="n"/>
      <c r="C348" s="18" t="n"/>
      <c r="D348" s="30" t="n"/>
      <c r="E348" s="18" t="n"/>
      <c r="F348" s="5" t="n"/>
      <c r="G348">
        <f>IF($A348="","",$A348&amp;"|"&amp;COUNTIF($A$2:$A348,$A348))</f>
        <v/>
      </c>
    </row>
    <row r="349">
      <c r="A349" s="18" t="n"/>
      <c r="B349" s="18" t="n"/>
      <c r="C349" s="18" t="n"/>
      <c r="D349" s="30" t="n"/>
      <c r="E349" s="18" t="n"/>
      <c r="F349" s="5" t="n"/>
      <c r="G349">
        <f>IF($A349="","",$A349&amp;"|"&amp;COUNTIF($A$2:$A349,$A349))</f>
        <v/>
      </c>
    </row>
    <row r="350">
      <c r="A350" s="18" t="n"/>
      <c r="B350" s="18" t="n"/>
      <c r="C350" s="18" t="n"/>
      <c r="D350" s="30" t="n"/>
      <c r="E350" s="18" t="n"/>
      <c r="F350" s="5" t="n"/>
      <c r="G350">
        <f>IF($A350="","",$A350&amp;"|"&amp;COUNTIF($A$2:$A350,$A350))</f>
        <v/>
      </c>
    </row>
    <row r="351">
      <c r="A351" s="18" t="n"/>
      <c r="B351" s="18" t="n"/>
      <c r="C351" s="18" t="n"/>
      <c r="D351" s="30" t="n"/>
      <c r="E351" s="18" t="n"/>
      <c r="F351" s="5" t="n"/>
      <c r="G351">
        <f>IF($A351="","",$A351&amp;"|"&amp;COUNTIF($A$2:$A351,$A351))</f>
        <v/>
      </c>
    </row>
    <row r="352">
      <c r="A352" s="18" t="n"/>
      <c r="B352" s="18" t="n"/>
      <c r="C352" s="18" t="n"/>
      <c r="D352" s="30" t="n"/>
      <c r="E352" s="18" t="n"/>
      <c r="F352" s="5" t="n"/>
      <c r="G352">
        <f>IF($A352="","",$A352&amp;"|"&amp;COUNTIF($A$2:$A352,$A352))</f>
        <v/>
      </c>
    </row>
    <row r="353">
      <c r="A353" s="18" t="n"/>
      <c r="B353" s="18" t="n"/>
      <c r="C353" s="18" t="n"/>
      <c r="D353" s="30" t="n"/>
      <c r="E353" s="18" t="n"/>
      <c r="F353" s="5" t="n"/>
      <c r="G353">
        <f>IF($A353="","",$A353&amp;"|"&amp;COUNTIF($A$2:$A353,$A353))</f>
        <v/>
      </c>
    </row>
    <row r="354">
      <c r="A354" s="18" t="n"/>
      <c r="B354" s="18" t="n"/>
      <c r="C354" s="18" t="n"/>
      <c r="D354" s="30" t="n"/>
      <c r="E354" s="18" t="n"/>
      <c r="F354" s="5" t="n"/>
      <c r="G354">
        <f>IF($A354="","",$A354&amp;"|"&amp;COUNTIF($A$2:$A354,$A354))</f>
        <v/>
      </c>
    </row>
    <row r="355">
      <c r="A355" s="18" t="n"/>
      <c r="B355" s="18" t="n"/>
      <c r="C355" s="18" t="n"/>
      <c r="D355" s="30" t="n"/>
      <c r="E355" s="18" t="n"/>
      <c r="F355" s="5" t="n"/>
      <c r="G355">
        <f>IF($A355="","",$A355&amp;"|"&amp;COUNTIF($A$2:$A355,$A355))</f>
        <v/>
      </c>
    </row>
    <row r="356">
      <c r="A356" s="18" t="n"/>
      <c r="B356" s="18" t="n"/>
      <c r="C356" s="18" t="n"/>
      <c r="D356" s="30" t="n"/>
      <c r="E356" s="18" t="n"/>
      <c r="F356" s="5" t="n"/>
      <c r="G356">
        <f>IF($A356="","",$A356&amp;"|"&amp;COUNTIF($A$2:$A356,$A356))</f>
        <v/>
      </c>
    </row>
    <row r="357">
      <c r="A357" s="18" t="n"/>
      <c r="B357" s="18" t="n"/>
      <c r="C357" s="18" t="n"/>
      <c r="D357" s="30" t="n"/>
      <c r="E357" s="18" t="n"/>
      <c r="F357" s="5" t="n"/>
      <c r="G357">
        <f>IF($A357="","",$A357&amp;"|"&amp;COUNTIF($A$2:$A357,$A357))</f>
        <v/>
      </c>
    </row>
    <row r="358">
      <c r="A358" s="18" t="n"/>
      <c r="B358" s="18" t="n"/>
      <c r="C358" s="18" t="n"/>
      <c r="D358" s="30" t="n"/>
      <c r="E358" s="18" t="n"/>
      <c r="F358" s="5" t="n"/>
      <c r="G358">
        <f>IF($A358="","",$A358&amp;"|"&amp;COUNTIF($A$2:$A358,$A358))</f>
        <v/>
      </c>
    </row>
    <row r="359">
      <c r="A359" s="18" t="n"/>
      <c r="B359" s="18" t="n"/>
      <c r="C359" s="18" t="n"/>
      <c r="D359" s="30" t="n"/>
      <c r="E359" s="18" t="n"/>
      <c r="F359" s="5" t="n"/>
      <c r="G359">
        <f>IF($A359="","",$A359&amp;"|"&amp;COUNTIF($A$2:$A359,$A359))</f>
        <v/>
      </c>
    </row>
    <row r="360">
      <c r="A360" s="18" t="n"/>
      <c r="B360" s="18" t="n"/>
      <c r="C360" s="18" t="n"/>
      <c r="D360" s="30" t="n"/>
      <c r="E360" s="18" t="n"/>
      <c r="F360" s="5" t="n"/>
      <c r="G360">
        <f>IF($A360="","",$A360&amp;"|"&amp;COUNTIF($A$2:$A360,$A360))</f>
        <v/>
      </c>
    </row>
    <row r="361">
      <c r="A361" s="18" t="n"/>
      <c r="B361" s="18" t="n"/>
      <c r="C361" s="18" t="n"/>
      <c r="D361" s="30" t="n"/>
      <c r="E361" s="18" t="n"/>
      <c r="F361" s="5" t="n"/>
      <c r="G361">
        <f>IF($A361="","",$A361&amp;"|"&amp;COUNTIF($A$2:$A361,$A361))</f>
        <v/>
      </c>
    </row>
    <row r="362">
      <c r="A362" s="18" t="n"/>
      <c r="B362" s="18" t="n"/>
      <c r="C362" s="18" t="n"/>
      <c r="D362" s="30" t="n"/>
      <c r="E362" s="18" t="n"/>
      <c r="F362" s="5" t="n"/>
      <c r="G362">
        <f>IF($A362="","",$A362&amp;"|"&amp;COUNTIF($A$2:$A362,$A362))</f>
        <v/>
      </c>
    </row>
    <row r="363">
      <c r="A363" s="18" t="n"/>
      <c r="B363" s="18" t="n"/>
      <c r="C363" s="18" t="n"/>
      <c r="D363" s="30" t="n"/>
      <c r="E363" s="18" t="n"/>
      <c r="F363" s="5" t="n"/>
      <c r="G363">
        <f>IF($A363="","",$A363&amp;"|"&amp;COUNTIF($A$2:$A363,$A363))</f>
        <v/>
      </c>
    </row>
    <row r="364">
      <c r="A364" s="18" t="n"/>
      <c r="B364" s="18" t="n"/>
      <c r="C364" s="18" t="n"/>
      <c r="D364" s="30" t="n"/>
      <c r="E364" s="18" t="n"/>
      <c r="F364" s="5" t="n"/>
      <c r="G364">
        <f>IF($A364="","",$A364&amp;"|"&amp;COUNTIF($A$2:$A364,$A364))</f>
        <v/>
      </c>
    </row>
    <row r="365">
      <c r="A365" s="18" t="n"/>
      <c r="B365" s="18" t="n"/>
      <c r="C365" s="18" t="n"/>
      <c r="D365" s="30" t="n"/>
      <c r="E365" s="18" t="n"/>
      <c r="F365" s="5" t="n"/>
      <c r="G365">
        <f>IF($A365="","",$A365&amp;"|"&amp;COUNTIF($A$2:$A365,$A365))</f>
        <v/>
      </c>
    </row>
    <row r="366">
      <c r="A366" s="18" t="n"/>
      <c r="B366" s="18" t="n"/>
      <c r="C366" s="18" t="n"/>
      <c r="D366" s="30" t="n"/>
      <c r="E366" s="18" t="n"/>
      <c r="F366" s="5" t="n"/>
      <c r="G366">
        <f>IF($A366="","",$A366&amp;"|"&amp;COUNTIF($A$2:$A366,$A366))</f>
        <v/>
      </c>
    </row>
    <row r="367">
      <c r="A367" s="18" t="n"/>
      <c r="B367" s="18" t="n"/>
      <c r="C367" s="18" t="n"/>
      <c r="D367" s="30" t="n"/>
      <c r="E367" s="18" t="n"/>
      <c r="F367" s="5" t="n"/>
      <c r="G367">
        <f>IF($A367="","",$A367&amp;"|"&amp;COUNTIF($A$2:$A367,$A367))</f>
        <v/>
      </c>
    </row>
    <row r="368">
      <c r="A368" s="18" t="n"/>
      <c r="B368" s="18" t="n"/>
      <c r="C368" s="18" t="n"/>
      <c r="D368" s="30" t="n"/>
      <c r="E368" s="18" t="n"/>
      <c r="F368" s="5" t="n"/>
      <c r="G368">
        <f>IF($A368="","",$A368&amp;"|"&amp;COUNTIF($A$2:$A368,$A368))</f>
        <v/>
      </c>
    </row>
    <row r="369">
      <c r="A369" s="18" t="n"/>
      <c r="B369" s="18" t="n"/>
      <c r="C369" s="18" t="n"/>
      <c r="D369" s="30" t="n"/>
      <c r="E369" s="18" t="n"/>
      <c r="F369" s="5" t="n"/>
      <c r="G369">
        <f>IF($A369="","",$A369&amp;"|"&amp;COUNTIF($A$2:$A369,$A369))</f>
        <v/>
      </c>
    </row>
    <row r="370">
      <c r="A370" s="18" t="n"/>
      <c r="B370" s="18" t="n"/>
      <c r="C370" s="18" t="n"/>
      <c r="D370" s="30" t="n"/>
      <c r="E370" s="18" t="n"/>
      <c r="F370" s="5" t="n"/>
      <c r="G370">
        <f>IF($A370="","",$A370&amp;"|"&amp;COUNTIF($A$2:$A370,$A370))</f>
        <v/>
      </c>
    </row>
    <row r="371">
      <c r="A371" s="18" t="n"/>
      <c r="B371" s="18" t="n"/>
      <c r="C371" s="18" t="n"/>
      <c r="D371" s="30" t="n"/>
      <c r="E371" s="18" t="n"/>
      <c r="F371" s="5" t="n"/>
      <c r="G371">
        <f>IF($A371="","",$A371&amp;"|"&amp;COUNTIF($A$2:$A371,$A371))</f>
        <v/>
      </c>
    </row>
    <row r="372">
      <c r="A372" s="18" t="n"/>
      <c r="B372" s="18" t="n"/>
      <c r="C372" s="18" t="n"/>
      <c r="D372" s="30" t="n"/>
      <c r="E372" s="18" t="n"/>
      <c r="F372" s="5" t="n"/>
      <c r="G372">
        <f>IF($A372="","",$A372&amp;"|"&amp;COUNTIF($A$2:$A372,$A372))</f>
        <v/>
      </c>
    </row>
    <row r="373">
      <c r="A373" s="18" t="n"/>
      <c r="B373" s="18" t="n"/>
      <c r="C373" s="18" t="n"/>
      <c r="D373" s="30" t="n"/>
      <c r="E373" s="18" t="n"/>
      <c r="F373" s="5" t="n"/>
      <c r="G373">
        <f>IF($A373="","",$A373&amp;"|"&amp;COUNTIF($A$2:$A373,$A373))</f>
        <v/>
      </c>
    </row>
    <row r="374">
      <c r="A374" s="18" t="n"/>
      <c r="B374" s="18" t="n"/>
      <c r="C374" s="18" t="n"/>
      <c r="D374" s="30" t="n"/>
      <c r="E374" s="18" t="n"/>
      <c r="F374" s="5" t="n"/>
      <c r="G374">
        <f>IF($A374="","",$A374&amp;"|"&amp;COUNTIF($A$2:$A374,$A374))</f>
        <v/>
      </c>
    </row>
    <row r="375">
      <c r="A375" s="18" t="n"/>
      <c r="B375" s="18" t="n"/>
      <c r="C375" s="18" t="n"/>
      <c r="D375" s="30" t="n"/>
      <c r="E375" s="18" t="n"/>
      <c r="F375" s="5" t="n"/>
      <c r="G375">
        <f>IF($A375="","",$A375&amp;"|"&amp;COUNTIF($A$2:$A375,$A375))</f>
        <v/>
      </c>
    </row>
    <row r="376">
      <c r="A376" s="18" t="n"/>
      <c r="B376" s="18" t="n"/>
      <c r="C376" s="18" t="n"/>
      <c r="D376" s="30" t="n"/>
      <c r="E376" s="18" t="n"/>
      <c r="F376" s="5" t="n"/>
      <c r="G376">
        <f>IF($A376="","",$A376&amp;"|"&amp;COUNTIF($A$2:$A376,$A376))</f>
        <v/>
      </c>
    </row>
    <row r="377">
      <c r="A377" s="18" t="n"/>
      <c r="B377" s="18" t="n"/>
      <c r="C377" s="18" t="n"/>
      <c r="D377" s="30" t="n"/>
      <c r="E377" s="18" t="n"/>
      <c r="F377" s="5" t="n"/>
      <c r="G377">
        <f>IF($A377="","",$A377&amp;"|"&amp;COUNTIF($A$2:$A377,$A377))</f>
        <v/>
      </c>
    </row>
    <row r="378">
      <c r="A378" s="18" t="n"/>
      <c r="B378" s="18" t="n"/>
      <c r="C378" s="18" t="n"/>
      <c r="D378" s="30" t="n"/>
      <c r="E378" s="18" t="n"/>
      <c r="F378" s="5" t="n"/>
      <c r="G378">
        <f>IF($A378="","",$A378&amp;"|"&amp;COUNTIF($A$2:$A378,$A378))</f>
        <v/>
      </c>
    </row>
    <row r="379">
      <c r="A379" s="18" t="n"/>
      <c r="B379" s="18" t="n"/>
      <c r="C379" s="18" t="n"/>
      <c r="D379" s="30" t="n"/>
      <c r="E379" s="18" t="n"/>
      <c r="F379" s="5" t="n"/>
      <c r="G379">
        <f>IF($A379="","",$A379&amp;"|"&amp;COUNTIF($A$2:$A379,$A379))</f>
        <v/>
      </c>
    </row>
    <row r="380">
      <c r="A380" s="18" t="n"/>
      <c r="B380" s="18" t="n"/>
      <c r="C380" s="18" t="n"/>
      <c r="D380" s="30" t="n"/>
      <c r="E380" s="18" t="n"/>
      <c r="F380" s="5" t="n"/>
      <c r="G380">
        <f>IF($A380="","",$A380&amp;"|"&amp;COUNTIF($A$2:$A380,$A380))</f>
        <v/>
      </c>
    </row>
    <row r="381">
      <c r="A381" s="18" t="n"/>
      <c r="B381" s="18" t="n"/>
      <c r="C381" s="18" t="n"/>
      <c r="D381" s="30" t="n"/>
      <c r="E381" s="18" t="n"/>
      <c r="F381" s="5" t="n"/>
      <c r="G381">
        <f>IF($A381="","",$A381&amp;"|"&amp;COUNTIF($A$2:$A381,$A381))</f>
        <v/>
      </c>
    </row>
    <row r="382">
      <c r="A382" s="18" t="n"/>
      <c r="B382" s="18" t="n"/>
      <c r="C382" s="18" t="n"/>
      <c r="D382" s="30" t="n"/>
      <c r="E382" s="18" t="n"/>
      <c r="F382" s="5" t="n"/>
      <c r="G382">
        <f>IF($A382="","",$A382&amp;"|"&amp;COUNTIF($A$2:$A382,$A382))</f>
        <v/>
      </c>
    </row>
    <row r="383">
      <c r="A383" s="18" t="n"/>
      <c r="B383" s="18" t="n"/>
      <c r="C383" s="18" t="n"/>
      <c r="D383" s="30" t="n"/>
      <c r="E383" s="18" t="n"/>
      <c r="F383" s="5" t="n"/>
      <c r="G383">
        <f>IF($A383="","",$A383&amp;"|"&amp;COUNTIF($A$2:$A383,$A383))</f>
        <v/>
      </c>
    </row>
    <row r="384">
      <c r="A384" s="18" t="n"/>
      <c r="B384" s="18" t="n"/>
      <c r="C384" s="18" t="n"/>
      <c r="D384" s="30" t="n"/>
      <c r="E384" s="18" t="n"/>
      <c r="F384" s="5" t="n"/>
      <c r="G384">
        <f>IF($A384="","",$A384&amp;"|"&amp;COUNTIF($A$2:$A384,$A384))</f>
        <v/>
      </c>
    </row>
    <row r="385">
      <c r="A385" s="18" t="n"/>
      <c r="B385" s="18" t="n"/>
      <c r="C385" s="18" t="n"/>
      <c r="D385" s="30" t="n"/>
      <c r="E385" s="18" t="n"/>
      <c r="F385" s="5" t="n"/>
      <c r="G385">
        <f>IF($A385="","",$A385&amp;"|"&amp;COUNTIF($A$2:$A385,$A385))</f>
        <v/>
      </c>
    </row>
    <row r="386">
      <c r="A386" s="18" t="n"/>
      <c r="B386" s="18" t="n"/>
      <c r="C386" s="18" t="n"/>
      <c r="D386" s="30" t="n"/>
      <c r="E386" s="18" t="n"/>
      <c r="F386" s="5" t="n"/>
      <c r="G386">
        <f>IF($A386="","",$A386&amp;"|"&amp;COUNTIF($A$2:$A386,$A386))</f>
        <v/>
      </c>
    </row>
    <row r="387">
      <c r="A387" s="18" t="n"/>
      <c r="B387" s="18" t="n"/>
      <c r="C387" s="18" t="n"/>
      <c r="D387" s="30" t="n"/>
      <c r="E387" s="18" t="n"/>
      <c r="F387" s="5" t="n"/>
      <c r="G387">
        <f>IF($A387="","",$A387&amp;"|"&amp;COUNTIF($A$2:$A387,$A387))</f>
        <v/>
      </c>
    </row>
    <row r="388">
      <c r="A388" s="18" t="n"/>
      <c r="B388" s="18" t="n"/>
      <c r="C388" s="18" t="n"/>
      <c r="D388" s="30" t="n"/>
      <c r="E388" s="18" t="n"/>
      <c r="F388" s="5" t="n"/>
      <c r="G388">
        <f>IF($A388="","",$A388&amp;"|"&amp;COUNTIF($A$2:$A388,$A388))</f>
        <v/>
      </c>
    </row>
    <row r="389">
      <c r="A389" s="18" t="n"/>
      <c r="B389" s="18" t="n"/>
      <c r="C389" s="18" t="n"/>
      <c r="D389" s="30" t="n"/>
      <c r="E389" s="18" t="n"/>
      <c r="F389" s="5" t="n"/>
      <c r="G389">
        <f>IF($A389="","",$A389&amp;"|"&amp;COUNTIF($A$2:$A389,$A389))</f>
        <v/>
      </c>
    </row>
    <row r="390">
      <c r="A390" s="18" t="n"/>
      <c r="B390" s="18" t="n"/>
      <c r="C390" s="18" t="n"/>
      <c r="D390" s="30" t="n"/>
      <c r="E390" s="18" t="n"/>
      <c r="F390" s="5" t="n"/>
      <c r="G390">
        <f>IF($A390="","",$A390&amp;"|"&amp;COUNTIF($A$2:$A390,$A390))</f>
        <v/>
      </c>
    </row>
    <row r="391">
      <c r="A391" s="18" t="n"/>
      <c r="B391" s="18" t="n"/>
      <c r="C391" s="18" t="n"/>
      <c r="D391" s="30" t="n"/>
      <c r="E391" s="18" t="n"/>
      <c r="F391" s="5" t="n"/>
      <c r="G391">
        <f>IF($A391="","",$A391&amp;"|"&amp;COUNTIF($A$2:$A391,$A391))</f>
        <v/>
      </c>
    </row>
    <row r="392">
      <c r="A392" s="18" t="n"/>
      <c r="B392" s="18" t="n"/>
      <c r="C392" s="18" t="n"/>
      <c r="D392" s="30" t="n"/>
      <c r="E392" s="18" t="n"/>
      <c r="F392" s="5" t="n"/>
      <c r="G392">
        <f>IF($A392="","",$A392&amp;"|"&amp;COUNTIF($A$2:$A392,$A392))</f>
        <v/>
      </c>
    </row>
    <row r="393">
      <c r="A393" s="18" t="n"/>
      <c r="B393" s="18" t="n"/>
      <c r="C393" s="18" t="n"/>
      <c r="D393" s="30" t="n"/>
      <c r="E393" s="18" t="n"/>
      <c r="F393" s="5" t="n"/>
      <c r="G393">
        <f>IF($A393="","",$A393&amp;"|"&amp;COUNTIF($A$2:$A393,$A393))</f>
        <v/>
      </c>
    </row>
    <row r="394">
      <c r="A394" s="18" t="n"/>
      <c r="B394" s="18" t="n"/>
      <c r="C394" s="18" t="n"/>
      <c r="D394" s="30" t="n"/>
      <c r="E394" s="18" t="n"/>
      <c r="F394" s="5" t="n"/>
      <c r="G394">
        <f>IF($A394="","",$A394&amp;"|"&amp;COUNTIF($A$2:$A394,$A394))</f>
        <v/>
      </c>
    </row>
    <row r="395">
      <c r="A395" s="18" t="n"/>
      <c r="B395" s="18" t="n"/>
      <c r="C395" s="18" t="n"/>
      <c r="D395" s="30" t="n"/>
      <c r="E395" s="18" t="n"/>
      <c r="F395" s="5" t="n"/>
      <c r="G395">
        <f>IF($A395="","",$A395&amp;"|"&amp;COUNTIF($A$2:$A395,$A395))</f>
        <v/>
      </c>
    </row>
    <row r="396">
      <c r="A396" s="18" t="n"/>
      <c r="B396" s="18" t="n"/>
      <c r="C396" s="18" t="n"/>
      <c r="D396" s="30" t="n"/>
      <c r="E396" s="18" t="n"/>
      <c r="F396" s="5" t="n"/>
      <c r="G396">
        <f>IF($A396="","",$A396&amp;"|"&amp;COUNTIF($A$2:$A396,$A396))</f>
        <v/>
      </c>
    </row>
    <row r="397">
      <c r="A397" s="18" t="n"/>
      <c r="B397" s="18" t="n"/>
      <c r="C397" s="18" t="n"/>
      <c r="D397" s="30" t="n"/>
      <c r="E397" s="18" t="n"/>
      <c r="F397" s="5" t="n"/>
      <c r="G397">
        <f>IF($A397="","",$A397&amp;"|"&amp;COUNTIF($A$2:$A397,$A397))</f>
        <v/>
      </c>
    </row>
    <row r="398">
      <c r="A398" s="18" t="n"/>
      <c r="B398" s="18" t="n"/>
      <c r="C398" s="18" t="n"/>
      <c r="D398" s="30" t="n"/>
      <c r="E398" s="18" t="n"/>
      <c r="F398" s="5" t="n"/>
      <c r="G398">
        <f>IF($A398="","",$A398&amp;"|"&amp;COUNTIF($A$2:$A398,$A398))</f>
        <v/>
      </c>
    </row>
    <row r="399">
      <c r="A399" s="18" t="n"/>
      <c r="B399" s="18" t="n"/>
      <c r="C399" s="18" t="n"/>
      <c r="D399" s="30" t="n"/>
      <c r="E399" s="18" t="n"/>
      <c r="F399" s="5" t="n"/>
      <c r="G399">
        <f>IF($A399="","",$A399&amp;"|"&amp;COUNTIF($A$2:$A399,$A399))</f>
        <v/>
      </c>
    </row>
    <row r="400">
      <c r="A400" s="18" t="n"/>
      <c r="B400" s="18" t="n"/>
      <c r="C400" s="18" t="n"/>
      <c r="D400" s="30" t="n"/>
      <c r="E400" s="18" t="n"/>
      <c r="F400" s="5" t="n"/>
      <c r="G400">
        <f>IF($A400="","",$A400&amp;"|"&amp;COUNTIF($A$2:$A400,$A400))</f>
        <v/>
      </c>
    </row>
    <row r="401">
      <c r="A401" s="18" t="n"/>
      <c r="B401" s="18" t="n"/>
      <c r="C401" s="18" t="n"/>
      <c r="D401" s="30" t="n"/>
      <c r="E401" s="18" t="n"/>
      <c r="F401" s="5" t="n"/>
      <c r="G401">
        <f>IF($A401="","",$A401&amp;"|"&amp;COUNTIF($A$2:$A401,$A401))</f>
        <v/>
      </c>
    </row>
    <row r="402">
      <c r="A402" s="18" t="n"/>
      <c r="B402" s="18" t="n"/>
      <c r="C402" s="18" t="n"/>
      <c r="D402" s="30" t="n"/>
      <c r="E402" s="18" t="n"/>
      <c r="F402" s="5" t="n"/>
      <c r="G402">
        <f>IF($A402="","",$A402&amp;"|"&amp;COUNTIF($A$2:$A402,$A402))</f>
        <v/>
      </c>
    </row>
    <row r="403">
      <c r="A403" s="18" t="n"/>
      <c r="B403" s="18" t="n"/>
      <c r="C403" s="18" t="n"/>
      <c r="D403" s="30" t="n"/>
      <c r="E403" s="18" t="n"/>
      <c r="F403" s="5" t="n"/>
      <c r="G403">
        <f>IF($A403="","",$A403&amp;"|"&amp;COUNTIF($A$2:$A403,$A403))</f>
        <v/>
      </c>
    </row>
    <row r="404">
      <c r="A404" s="18" t="n"/>
      <c r="B404" s="18" t="n"/>
      <c r="C404" s="18" t="n"/>
      <c r="D404" s="30" t="n"/>
      <c r="E404" s="18" t="n"/>
      <c r="F404" s="5" t="n"/>
      <c r="G404">
        <f>IF($A404="","",$A404&amp;"|"&amp;COUNTIF($A$2:$A404,$A404))</f>
        <v/>
      </c>
    </row>
    <row r="405">
      <c r="A405" s="18" t="n"/>
      <c r="B405" s="18" t="n"/>
      <c r="C405" s="18" t="n"/>
      <c r="D405" s="30" t="n"/>
      <c r="E405" s="18" t="n"/>
      <c r="F405" s="5" t="n"/>
      <c r="G405">
        <f>IF($A405="","",$A405&amp;"|"&amp;COUNTIF($A$2:$A405,$A405))</f>
        <v/>
      </c>
    </row>
    <row r="406">
      <c r="A406" s="18" t="n"/>
      <c r="B406" s="18" t="n"/>
      <c r="C406" s="18" t="n"/>
      <c r="D406" s="30" t="n"/>
      <c r="E406" s="18" t="n"/>
      <c r="F406" s="5" t="n"/>
      <c r="G406">
        <f>IF($A406="","",$A406&amp;"|"&amp;COUNTIF($A$2:$A406,$A406))</f>
        <v/>
      </c>
    </row>
    <row r="407">
      <c r="A407" s="18" t="n"/>
      <c r="B407" s="18" t="n"/>
      <c r="C407" s="18" t="n"/>
      <c r="D407" s="30" t="n"/>
      <c r="E407" s="18" t="n"/>
      <c r="F407" s="5" t="n"/>
      <c r="G407">
        <f>IF($A407="","",$A407&amp;"|"&amp;COUNTIF($A$2:$A407,$A407))</f>
        <v/>
      </c>
    </row>
    <row r="408">
      <c r="A408" s="18" t="n"/>
      <c r="B408" s="18" t="n"/>
      <c r="C408" s="18" t="n"/>
      <c r="D408" s="30" t="n"/>
      <c r="E408" s="18" t="n"/>
      <c r="F408" s="5" t="n"/>
      <c r="G408">
        <f>IF($A408="","",$A408&amp;"|"&amp;COUNTIF($A$2:$A408,$A408))</f>
        <v/>
      </c>
    </row>
    <row r="409">
      <c r="A409" s="18" t="n"/>
      <c r="B409" s="18" t="n"/>
      <c r="C409" s="18" t="n"/>
      <c r="D409" s="30" t="n"/>
      <c r="E409" s="18" t="n"/>
      <c r="F409" s="5" t="n"/>
      <c r="G409">
        <f>IF($A409="","",$A409&amp;"|"&amp;COUNTIF($A$2:$A409,$A409))</f>
        <v/>
      </c>
    </row>
    <row r="410">
      <c r="A410" s="18" t="n"/>
      <c r="B410" s="18" t="n"/>
      <c r="C410" s="18" t="n"/>
      <c r="D410" s="30" t="n"/>
      <c r="E410" s="18" t="n"/>
      <c r="F410" s="5" t="n"/>
      <c r="G410">
        <f>IF($A410="","",$A410&amp;"|"&amp;COUNTIF($A$2:$A410,$A410))</f>
        <v/>
      </c>
    </row>
    <row r="411">
      <c r="A411" s="18" t="n"/>
      <c r="B411" s="18" t="n"/>
      <c r="C411" s="18" t="n"/>
      <c r="D411" s="30" t="n"/>
      <c r="E411" s="18" t="n"/>
      <c r="F411" s="5" t="n"/>
      <c r="G411">
        <f>IF($A411="","",$A411&amp;"|"&amp;COUNTIF($A$2:$A411,$A411))</f>
        <v/>
      </c>
    </row>
    <row r="412">
      <c r="A412" s="18" t="n"/>
      <c r="B412" s="18" t="n"/>
      <c r="C412" s="18" t="n"/>
      <c r="D412" s="30" t="n"/>
      <c r="E412" s="18" t="n"/>
      <c r="F412" s="5" t="n"/>
      <c r="G412">
        <f>IF($A412="","",$A412&amp;"|"&amp;COUNTIF($A$2:$A412,$A412))</f>
        <v/>
      </c>
    </row>
    <row r="413">
      <c r="A413" s="18" t="n"/>
      <c r="B413" s="18" t="n"/>
      <c r="C413" s="18" t="n"/>
      <c r="D413" s="30" t="n"/>
      <c r="E413" s="18" t="n"/>
      <c r="F413" s="5" t="n"/>
      <c r="G413">
        <f>IF($A413="","",$A413&amp;"|"&amp;COUNTIF($A$2:$A413,$A413))</f>
        <v/>
      </c>
    </row>
    <row r="414">
      <c r="A414" s="18" t="n"/>
      <c r="B414" s="18" t="n"/>
      <c r="C414" s="18" t="n"/>
      <c r="D414" s="30" t="n"/>
      <c r="E414" s="18" t="n"/>
      <c r="F414" s="5" t="n"/>
      <c r="G414">
        <f>IF($A414="","",$A414&amp;"|"&amp;COUNTIF($A$2:$A414,$A414))</f>
        <v/>
      </c>
    </row>
    <row r="415">
      <c r="A415" s="18" t="n"/>
      <c r="B415" s="18" t="n"/>
      <c r="C415" s="18" t="n"/>
      <c r="D415" s="30" t="n"/>
      <c r="E415" s="18" t="n"/>
      <c r="F415" s="5" t="n"/>
      <c r="G415">
        <f>IF($A415="","",$A415&amp;"|"&amp;COUNTIF($A$2:$A415,$A415))</f>
        <v/>
      </c>
    </row>
    <row r="416">
      <c r="A416" s="18" t="n"/>
      <c r="B416" s="18" t="n"/>
      <c r="C416" s="18" t="n"/>
      <c r="D416" s="30" t="n"/>
      <c r="E416" s="18" t="n"/>
      <c r="F416" s="5" t="n"/>
      <c r="G416">
        <f>IF($A416="","",$A416&amp;"|"&amp;COUNTIF($A$2:$A416,$A416))</f>
        <v/>
      </c>
    </row>
    <row r="417">
      <c r="A417" s="18" t="n"/>
      <c r="B417" s="18" t="n"/>
      <c r="C417" s="18" t="n"/>
      <c r="D417" s="30" t="n"/>
      <c r="E417" s="18" t="n"/>
      <c r="F417" s="5" t="n"/>
      <c r="G417">
        <f>IF($A417="","",$A417&amp;"|"&amp;COUNTIF($A$2:$A417,$A417))</f>
        <v/>
      </c>
    </row>
    <row r="418">
      <c r="A418" s="18" t="n"/>
      <c r="B418" s="18" t="n"/>
      <c r="C418" s="18" t="n"/>
      <c r="D418" s="30" t="n"/>
      <c r="E418" s="18" t="n"/>
      <c r="F418" s="5" t="n"/>
      <c r="G418">
        <f>IF($A418="","",$A418&amp;"|"&amp;COUNTIF($A$2:$A418,$A418))</f>
        <v/>
      </c>
    </row>
    <row r="419">
      <c r="A419" s="18" t="n"/>
      <c r="B419" s="18" t="n"/>
      <c r="C419" s="18" t="n"/>
      <c r="D419" s="30" t="n"/>
      <c r="E419" s="18" t="n"/>
      <c r="F419" s="5" t="n"/>
      <c r="G419">
        <f>IF($A419="","",$A419&amp;"|"&amp;COUNTIF($A$2:$A419,$A419))</f>
        <v/>
      </c>
    </row>
    <row r="420">
      <c r="A420" s="18" t="n"/>
      <c r="B420" s="18" t="n"/>
      <c r="C420" s="18" t="n"/>
      <c r="D420" s="30" t="n"/>
      <c r="E420" s="18" t="n"/>
      <c r="F420" s="5" t="n"/>
      <c r="G420">
        <f>IF($A420="","",$A420&amp;"|"&amp;COUNTIF($A$2:$A420,$A420))</f>
        <v/>
      </c>
    </row>
    <row r="421">
      <c r="A421" s="18" t="n"/>
      <c r="B421" s="18" t="n"/>
      <c r="C421" s="18" t="n"/>
      <c r="D421" s="30" t="n"/>
      <c r="E421" s="18" t="n"/>
      <c r="F421" s="5" t="n"/>
      <c r="G421">
        <f>IF($A421="","",$A421&amp;"|"&amp;COUNTIF($A$2:$A421,$A421))</f>
        <v/>
      </c>
    </row>
    <row r="422">
      <c r="A422" s="18" t="n"/>
      <c r="B422" s="18" t="n"/>
      <c r="C422" s="18" t="n"/>
      <c r="D422" s="30" t="n"/>
      <c r="E422" s="18" t="n"/>
      <c r="F422" s="5" t="n"/>
      <c r="G422">
        <f>IF($A422="","",$A422&amp;"|"&amp;COUNTIF($A$2:$A422,$A422))</f>
        <v/>
      </c>
    </row>
    <row r="423">
      <c r="A423" s="18" t="n"/>
      <c r="B423" s="18" t="n"/>
      <c r="C423" s="18" t="n"/>
      <c r="D423" s="30" t="n"/>
      <c r="E423" s="18" t="n"/>
      <c r="F423" s="5" t="n"/>
      <c r="G423">
        <f>IF($A423="","",$A423&amp;"|"&amp;COUNTIF($A$2:$A423,$A423))</f>
        <v/>
      </c>
    </row>
    <row r="424">
      <c r="A424" s="18" t="n"/>
      <c r="B424" s="18" t="n"/>
      <c r="C424" s="18" t="n"/>
      <c r="D424" s="30" t="n"/>
      <c r="E424" s="18" t="n"/>
      <c r="F424" s="5" t="n"/>
      <c r="G424">
        <f>IF($A424="","",$A424&amp;"|"&amp;COUNTIF($A$2:$A424,$A424))</f>
        <v/>
      </c>
    </row>
    <row r="425">
      <c r="A425" s="18" t="n"/>
      <c r="B425" s="18" t="n"/>
      <c r="C425" s="18" t="n"/>
      <c r="D425" s="30" t="n"/>
      <c r="E425" s="18" t="n"/>
      <c r="F425" s="5" t="n"/>
      <c r="G425">
        <f>IF($A425="","",$A425&amp;"|"&amp;COUNTIF($A$2:$A425,$A425))</f>
        <v/>
      </c>
    </row>
    <row r="426">
      <c r="A426" s="18" t="n"/>
      <c r="B426" s="18" t="n"/>
      <c r="C426" s="18" t="n"/>
      <c r="D426" s="30" t="n"/>
      <c r="E426" s="18" t="n"/>
      <c r="F426" s="5" t="n"/>
      <c r="G426">
        <f>IF($A426="","",$A426&amp;"|"&amp;COUNTIF($A$2:$A426,$A426))</f>
        <v/>
      </c>
    </row>
    <row r="427">
      <c r="A427" s="18" t="n"/>
      <c r="B427" s="18" t="n"/>
      <c r="C427" s="18" t="n"/>
      <c r="D427" s="30" t="n"/>
      <c r="E427" s="18" t="n"/>
      <c r="F427" s="5" t="n"/>
      <c r="G427">
        <f>IF($A427="","",$A427&amp;"|"&amp;COUNTIF($A$2:$A427,$A427))</f>
        <v/>
      </c>
    </row>
    <row r="428">
      <c r="A428" s="18" t="n"/>
      <c r="B428" s="18" t="n"/>
      <c r="C428" s="18" t="n"/>
      <c r="D428" s="30" t="n"/>
      <c r="E428" s="18" t="n"/>
      <c r="F428" s="5" t="n"/>
      <c r="G428">
        <f>IF($A428="","",$A428&amp;"|"&amp;COUNTIF($A$2:$A428,$A428))</f>
        <v/>
      </c>
    </row>
    <row r="429">
      <c r="A429" s="18" t="n"/>
      <c r="B429" s="18" t="n"/>
      <c r="C429" s="18" t="n"/>
      <c r="D429" s="30" t="n"/>
      <c r="E429" s="18" t="n"/>
      <c r="F429" s="5" t="n"/>
      <c r="G429">
        <f>IF($A429="","",$A429&amp;"|"&amp;COUNTIF($A$2:$A429,$A429))</f>
        <v/>
      </c>
    </row>
    <row r="430">
      <c r="A430" s="18" t="n"/>
      <c r="B430" s="18" t="n"/>
      <c r="C430" s="18" t="n"/>
      <c r="D430" s="30" t="n"/>
      <c r="E430" s="18" t="n"/>
      <c r="F430" s="5" t="n"/>
      <c r="G430">
        <f>IF($A430="","",$A430&amp;"|"&amp;COUNTIF($A$2:$A430,$A430))</f>
        <v/>
      </c>
    </row>
    <row r="431">
      <c r="A431" s="18" t="n"/>
      <c r="B431" s="18" t="n"/>
      <c r="C431" s="18" t="n"/>
      <c r="D431" s="30" t="n"/>
      <c r="E431" s="18" t="n"/>
      <c r="F431" s="5" t="n"/>
      <c r="G431">
        <f>IF($A431="","",$A431&amp;"|"&amp;COUNTIF($A$2:$A431,$A431))</f>
        <v/>
      </c>
    </row>
    <row r="432">
      <c r="A432" s="18" t="n"/>
      <c r="B432" s="18" t="n"/>
      <c r="C432" s="18" t="n"/>
      <c r="D432" s="30" t="n"/>
      <c r="E432" s="18" t="n"/>
      <c r="F432" s="5" t="n"/>
      <c r="G432">
        <f>IF($A432="","",$A432&amp;"|"&amp;COUNTIF($A$2:$A432,$A432))</f>
        <v/>
      </c>
    </row>
    <row r="433">
      <c r="A433" s="18" t="n"/>
      <c r="B433" s="18" t="n"/>
      <c r="C433" s="18" t="n"/>
      <c r="D433" s="30" t="n"/>
      <c r="E433" s="18" t="n"/>
      <c r="F433" s="5" t="n"/>
      <c r="G433">
        <f>IF($A433="","",$A433&amp;"|"&amp;COUNTIF($A$2:$A433,$A433))</f>
        <v/>
      </c>
    </row>
    <row r="434">
      <c r="A434" s="18" t="n"/>
      <c r="B434" s="18" t="n"/>
      <c r="C434" s="18" t="n"/>
      <c r="D434" s="30" t="n"/>
      <c r="E434" s="18" t="n"/>
      <c r="F434" s="5" t="n"/>
      <c r="G434">
        <f>IF($A434="","",$A434&amp;"|"&amp;COUNTIF($A$2:$A434,$A434))</f>
        <v/>
      </c>
    </row>
    <row r="435">
      <c r="A435" s="18" t="n"/>
      <c r="B435" s="18" t="n"/>
      <c r="C435" s="18" t="n"/>
      <c r="D435" s="30" t="n"/>
      <c r="E435" s="18" t="n"/>
      <c r="F435" s="5" t="n"/>
      <c r="G435">
        <f>IF($A435="","",$A435&amp;"|"&amp;COUNTIF($A$2:$A435,$A435))</f>
        <v/>
      </c>
    </row>
    <row r="436">
      <c r="A436" s="18" t="n"/>
      <c r="B436" s="18" t="n"/>
      <c r="C436" s="18" t="n"/>
      <c r="D436" s="30" t="n"/>
      <c r="E436" s="18" t="n"/>
      <c r="F436" s="5" t="n"/>
      <c r="G436">
        <f>IF($A436="","",$A436&amp;"|"&amp;COUNTIF($A$2:$A436,$A436))</f>
        <v/>
      </c>
    </row>
    <row r="437">
      <c r="A437" s="18" t="n"/>
      <c r="B437" s="18" t="n"/>
      <c r="C437" s="18" t="n"/>
      <c r="D437" s="30" t="n"/>
      <c r="E437" s="18" t="n"/>
      <c r="F437" s="5" t="n"/>
      <c r="G437">
        <f>IF($A437="","",$A437&amp;"|"&amp;COUNTIF($A$2:$A437,$A437))</f>
        <v/>
      </c>
    </row>
    <row r="438">
      <c r="A438" s="18" t="n"/>
      <c r="B438" s="18" t="n"/>
      <c r="C438" s="18" t="n"/>
      <c r="D438" s="30" t="n"/>
      <c r="E438" s="18" t="n"/>
      <c r="F438" s="5" t="n"/>
      <c r="G438">
        <f>IF($A438="","",$A438&amp;"|"&amp;COUNTIF($A$2:$A438,$A438))</f>
        <v/>
      </c>
    </row>
    <row r="439">
      <c r="A439" s="18" t="n"/>
      <c r="B439" s="18" t="n"/>
      <c r="C439" s="18" t="n"/>
      <c r="D439" s="30" t="n"/>
      <c r="E439" s="18" t="n"/>
      <c r="F439" s="5" t="n"/>
      <c r="G439">
        <f>IF($A439="","",$A439&amp;"|"&amp;COUNTIF($A$2:$A439,$A439))</f>
        <v/>
      </c>
    </row>
    <row r="440">
      <c r="A440" s="18" t="n"/>
      <c r="B440" s="18" t="n"/>
      <c r="C440" s="18" t="n"/>
      <c r="D440" s="30" t="n"/>
      <c r="E440" s="18" t="n"/>
      <c r="F440" s="5" t="n"/>
      <c r="G440">
        <f>IF($A440="","",$A440&amp;"|"&amp;COUNTIF($A$2:$A440,$A440))</f>
        <v/>
      </c>
    </row>
    <row r="441">
      <c r="A441" s="18" t="n"/>
      <c r="B441" s="18" t="n"/>
      <c r="C441" s="18" t="n"/>
      <c r="D441" s="30" t="n"/>
      <c r="E441" s="18" t="n"/>
      <c r="F441" s="5" t="n"/>
      <c r="G441">
        <f>IF($A441="","",$A441&amp;"|"&amp;COUNTIF($A$2:$A441,$A441))</f>
        <v/>
      </c>
    </row>
    <row r="442">
      <c r="A442" s="18" t="n"/>
      <c r="B442" s="18" t="n"/>
      <c r="C442" s="18" t="n"/>
      <c r="D442" s="30" t="n"/>
      <c r="E442" s="18" t="n"/>
      <c r="F442" s="5" t="n"/>
      <c r="G442">
        <f>IF($A442="","",$A442&amp;"|"&amp;COUNTIF($A$2:$A442,$A442))</f>
        <v/>
      </c>
    </row>
    <row r="443">
      <c r="A443" s="18" t="n"/>
      <c r="B443" s="18" t="n"/>
      <c r="C443" s="18" t="n"/>
      <c r="D443" s="30" t="n"/>
      <c r="E443" s="18" t="n"/>
      <c r="F443" s="5" t="n"/>
      <c r="G443">
        <f>IF($A443="","",$A443&amp;"|"&amp;COUNTIF($A$2:$A443,$A443))</f>
        <v/>
      </c>
    </row>
    <row r="444">
      <c r="A444" s="18" t="n"/>
      <c r="B444" s="18" t="n"/>
      <c r="C444" s="18" t="n"/>
      <c r="D444" s="30" t="n"/>
      <c r="E444" s="18" t="n"/>
      <c r="F444" s="5" t="n"/>
      <c r="G444">
        <f>IF($A444="","",$A444&amp;"|"&amp;COUNTIF($A$2:$A444,$A444))</f>
        <v/>
      </c>
    </row>
    <row r="445">
      <c r="A445" s="18" t="n"/>
      <c r="B445" s="18" t="n"/>
      <c r="C445" s="18" t="n"/>
      <c r="D445" s="30" t="n"/>
      <c r="E445" s="18" t="n"/>
      <c r="F445" s="5" t="n"/>
      <c r="G445">
        <f>IF($A445="","",$A445&amp;"|"&amp;COUNTIF($A$2:$A445,$A445))</f>
        <v/>
      </c>
    </row>
    <row r="446">
      <c r="A446" s="18" t="n"/>
      <c r="B446" s="18" t="n"/>
      <c r="C446" s="18" t="n"/>
      <c r="D446" s="30" t="n"/>
      <c r="E446" s="18" t="n"/>
      <c r="F446" s="5" t="n"/>
      <c r="G446">
        <f>IF($A446="","",$A446&amp;"|"&amp;COUNTIF($A$2:$A446,$A446))</f>
        <v/>
      </c>
    </row>
    <row r="447">
      <c r="A447" s="18" t="n"/>
      <c r="B447" s="18" t="n"/>
      <c r="C447" s="18" t="n"/>
      <c r="D447" s="30" t="n"/>
      <c r="E447" s="18" t="n"/>
      <c r="F447" s="5" t="n"/>
      <c r="G447">
        <f>IF($A447="","",$A447&amp;"|"&amp;COUNTIF($A$2:$A447,$A447))</f>
        <v/>
      </c>
    </row>
    <row r="448">
      <c r="A448" s="18" t="n"/>
      <c r="B448" s="18" t="n"/>
      <c r="C448" s="18" t="n"/>
      <c r="D448" s="30" t="n"/>
      <c r="E448" s="18" t="n"/>
      <c r="F448" s="5" t="n"/>
      <c r="G448">
        <f>IF($A448="","",$A448&amp;"|"&amp;COUNTIF($A$2:$A448,$A448))</f>
        <v/>
      </c>
    </row>
    <row r="449">
      <c r="A449" s="18" t="n"/>
      <c r="B449" s="18" t="n"/>
      <c r="C449" s="18" t="n"/>
      <c r="D449" s="30" t="n"/>
      <c r="E449" s="18" t="n"/>
      <c r="F449" s="5" t="n"/>
      <c r="G449">
        <f>IF($A449="","",$A449&amp;"|"&amp;COUNTIF($A$2:$A449,$A449))</f>
        <v/>
      </c>
    </row>
    <row r="450">
      <c r="A450" s="18" t="n"/>
      <c r="B450" s="18" t="n"/>
      <c r="C450" s="18" t="n"/>
      <c r="D450" s="30" t="n"/>
      <c r="E450" s="18" t="n"/>
      <c r="F450" s="5" t="n"/>
      <c r="G450">
        <f>IF($A450="","",$A450&amp;"|"&amp;COUNTIF($A$2:$A450,$A450))</f>
        <v/>
      </c>
    </row>
    <row r="451">
      <c r="A451" s="18" t="n"/>
      <c r="B451" s="18" t="n"/>
      <c r="C451" s="18" t="n"/>
      <c r="D451" s="30" t="n"/>
      <c r="E451" s="18" t="n"/>
      <c r="F451" s="5" t="n"/>
      <c r="G451">
        <f>IF($A451="","",$A451&amp;"|"&amp;COUNTIF($A$2:$A451,$A451))</f>
        <v/>
      </c>
    </row>
    <row r="452">
      <c r="A452" s="18" t="n"/>
      <c r="B452" s="18" t="n"/>
      <c r="C452" s="18" t="n"/>
      <c r="D452" s="30" t="n"/>
      <c r="E452" s="18" t="n"/>
      <c r="F452" s="5" t="n"/>
      <c r="G452">
        <f>IF($A452="","",$A452&amp;"|"&amp;COUNTIF($A$2:$A452,$A452))</f>
        <v/>
      </c>
    </row>
    <row r="453">
      <c r="A453" s="18" t="n"/>
      <c r="B453" s="18" t="n"/>
      <c r="C453" s="18" t="n"/>
      <c r="D453" s="30" t="n"/>
      <c r="E453" s="18" t="n"/>
      <c r="F453" s="5" t="n"/>
      <c r="G453">
        <f>IF($A453="","",$A453&amp;"|"&amp;COUNTIF($A$2:$A453,$A453))</f>
        <v/>
      </c>
    </row>
    <row r="454">
      <c r="A454" s="18" t="n"/>
      <c r="B454" s="18" t="n"/>
      <c r="C454" s="18" t="n"/>
      <c r="D454" s="30" t="n"/>
      <c r="E454" s="18" t="n"/>
      <c r="F454" s="5" t="n"/>
      <c r="G454">
        <f>IF($A454="","",$A454&amp;"|"&amp;COUNTIF($A$2:$A454,$A454))</f>
        <v/>
      </c>
    </row>
    <row r="455">
      <c r="A455" s="18" t="n"/>
      <c r="B455" s="18" t="n"/>
      <c r="C455" s="18" t="n"/>
      <c r="D455" s="30" t="n"/>
      <c r="E455" s="18" t="n"/>
      <c r="F455" s="5" t="n"/>
      <c r="G455">
        <f>IF($A455="","",$A455&amp;"|"&amp;COUNTIF($A$2:$A455,$A455))</f>
        <v/>
      </c>
    </row>
    <row r="456">
      <c r="A456" s="18" t="n"/>
      <c r="B456" s="18" t="n"/>
      <c r="C456" s="18" t="n"/>
      <c r="D456" s="30" t="n"/>
      <c r="E456" s="18" t="n"/>
      <c r="F456" s="5" t="n"/>
      <c r="G456">
        <f>IF($A456="","",$A456&amp;"|"&amp;COUNTIF($A$2:$A456,$A456))</f>
        <v/>
      </c>
    </row>
    <row r="457">
      <c r="A457" s="18" t="n"/>
      <c r="B457" s="18" t="n"/>
      <c r="C457" s="18" t="n"/>
      <c r="D457" s="30" t="n"/>
      <c r="E457" s="18" t="n"/>
      <c r="F457" s="5" t="n"/>
      <c r="G457">
        <f>IF($A457="","",$A457&amp;"|"&amp;COUNTIF($A$2:$A457,$A457))</f>
        <v/>
      </c>
    </row>
    <row r="458">
      <c r="A458" s="18" t="n"/>
      <c r="B458" s="18" t="n"/>
      <c r="C458" s="18" t="n"/>
      <c r="D458" s="30" t="n"/>
      <c r="E458" s="18" t="n"/>
      <c r="F458" s="5" t="n"/>
      <c r="G458">
        <f>IF($A458="","",$A458&amp;"|"&amp;COUNTIF($A$2:$A458,$A458))</f>
        <v/>
      </c>
    </row>
    <row r="459">
      <c r="A459" s="18" t="n"/>
      <c r="B459" s="18" t="n"/>
      <c r="C459" s="18" t="n"/>
      <c r="D459" s="30" t="n"/>
      <c r="E459" s="18" t="n"/>
      <c r="F459" s="5" t="n"/>
      <c r="G459">
        <f>IF($A459="","",$A459&amp;"|"&amp;COUNTIF($A$2:$A459,$A459))</f>
        <v/>
      </c>
    </row>
    <row r="460">
      <c r="A460" s="18" t="n"/>
      <c r="B460" s="18" t="n"/>
      <c r="C460" s="18" t="n"/>
      <c r="D460" s="30" t="n"/>
      <c r="E460" s="18" t="n"/>
      <c r="F460" s="5" t="n"/>
      <c r="G460">
        <f>IF($A460="","",$A460&amp;"|"&amp;COUNTIF($A$2:$A460,$A460))</f>
        <v/>
      </c>
    </row>
    <row r="461">
      <c r="A461" s="18" t="n"/>
      <c r="B461" s="18" t="n"/>
      <c r="C461" s="18" t="n"/>
      <c r="D461" s="30" t="n"/>
      <c r="E461" s="18" t="n"/>
      <c r="F461" s="5" t="n"/>
      <c r="G461">
        <f>IF($A461="","",$A461&amp;"|"&amp;COUNTIF($A$2:$A461,$A461))</f>
        <v/>
      </c>
    </row>
    <row r="462">
      <c r="A462" s="18" t="n"/>
      <c r="B462" s="18" t="n"/>
      <c r="C462" s="18" t="n"/>
      <c r="D462" s="30" t="n"/>
      <c r="E462" s="18" t="n"/>
      <c r="F462" s="5" t="n"/>
      <c r="G462">
        <f>IF($A462="","",$A462&amp;"|"&amp;COUNTIF($A$2:$A462,$A462))</f>
        <v/>
      </c>
    </row>
    <row r="463">
      <c r="A463" s="18" t="n"/>
      <c r="B463" s="18" t="n"/>
      <c r="C463" s="18" t="n"/>
      <c r="D463" s="30" t="n"/>
      <c r="E463" s="18" t="n"/>
      <c r="F463" s="5" t="n"/>
      <c r="G463">
        <f>IF($A463="","",$A463&amp;"|"&amp;COUNTIF($A$2:$A463,$A463))</f>
        <v/>
      </c>
    </row>
    <row r="464">
      <c r="A464" s="18" t="n"/>
      <c r="B464" s="18" t="n"/>
      <c r="C464" s="18" t="n"/>
      <c r="D464" s="30" t="n"/>
      <c r="E464" s="18" t="n"/>
      <c r="F464" s="5" t="n"/>
      <c r="G464">
        <f>IF($A464="","",$A464&amp;"|"&amp;COUNTIF($A$2:$A464,$A464))</f>
        <v/>
      </c>
    </row>
    <row r="465">
      <c r="A465" s="18" t="n"/>
      <c r="B465" s="18" t="n"/>
      <c r="C465" s="18" t="n"/>
      <c r="D465" s="30" t="n"/>
      <c r="E465" s="18" t="n"/>
      <c r="F465" s="5" t="n"/>
      <c r="G465">
        <f>IF($A465="","",$A465&amp;"|"&amp;COUNTIF($A$2:$A465,$A465))</f>
        <v/>
      </c>
    </row>
    <row r="466">
      <c r="A466" s="18" t="n"/>
      <c r="B466" s="18" t="n"/>
      <c r="C466" s="18" t="n"/>
      <c r="D466" s="30" t="n"/>
      <c r="E466" s="18" t="n"/>
      <c r="F466" s="5" t="n"/>
      <c r="G466">
        <f>IF($A466="","",$A466&amp;"|"&amp;COUNTIF($A$2:$A466,$A466))</f>
        <v/>
      </c>
    </row>
    <row r="467">
      <c r="A467" s="18" t="n"/>
      <c r="B467" s="18" t="n"/>
      <c r="C467" s="18" t="n"/>
      <c r="D467" s="30" t="n"/>
      <c r="E467" s="18" t="n"/>
      <c r="F467" s="5" t="n"/>
      <c r="G467">
        <f>IF($A467="","",$A467&amp;"|"&amp;COUNTIF($A$2:$A467,$A467))</f>
        <v/>
      </c>
    </row>
    <row r="468">
      <c r="A468" s="18" t="n"/>
      <c r="B468" s="18" t="n"/>
      <c r="C468" s="18" t="n"/>
      <c r="D468" s="30" t="n"/>
      <c r="E468" s="18" t="n"/>
      <c r="F468" s="5" t="n"/>
      <c r="G468">
        <f>IF($A468="","",$A468&amp;"|"&amp;COUNTIF($A$2:$A468,$A468))</f>
        <v/>
      </c>
    </row>
    <row r="469">
      <c r="A469" s="18" t="n"/>
      <c r="B469" s="18" t="n"/>
      <c r="C469" s="18" t="n"/>
      <c r="D469" s="30" t="n"/>
      <c r="E469" s="18" t="n"/>
      <c r="F469" s="5" t="n"/>
      <c r="G469">
        <f>IF($A469="","",$A469&amp;"|"&amp;COUNTIF($A$2:$A469,$A469))</f>
        <v/>
      </c>
    </row>
    <row r="470">
      <c r="A470" s="18" t="n"/>
      <c r="B470" s="18" t="n"/>
      <c r="C470" s="18" t="n"/>
      <c r="D470" s="30" t="n"/>
      <c r="E470" s="18" t="n"/>
      <c r="F470" s="5" t="n"/>
      <c r="G470">
        <f>IF($A470="","",$A470&amp;"|"&amp;COUNTIF($A$2:$A470,$A470))</f>
        <v/>
      </c>
    </row>
    <row r="471">
      <c r="A471" s="18" t="n"/>
      <c r="B471" s="18" t="n"/>
      <c r="C471" s="18" t="n"/>
      <c r="D471" s="30" t="n"/>
      <c r="E471" s="18" t="n"/>
      <c r="F471" s="5" t="n"/>
      <c r="G471">
        <f>IF($A471="","",$A471&amp;"|"&amp;COUNTIF($A$2:$A471,$A471))</f>
        <v/>
      </c>
    </row>
    <row r="472">
      <c r="A472" s="18" t="n"/>
      <c r="B472" s="18" t="n"/>
      <c r="C472" s="18" t="n"/>
      <c r="D472" s="30" t="n"/>
      <c r="E472" s="18" t="n"/>
      <c r="F472" s="5" t="n"/>
      <c r="G472">
        <f>IF($A472="","",$A472&amp;"|"&amp;COUNTIF($A$2:$A472,$A472))</f>
        <v/>
      </c>
    </row>
    <row r="473">
      <c r="A473" s="18" t="n"/>
      <c r="B473" s="18" t="n"/>
      <c r="C473" s="18" t="n"/>
      <c r="D473" s="30" t="n"/>
      <c r="E473" s="18" t="n"/>
      <c r="F473" s="5" t="n"/>
      <c r="G473">
        <f>IF($A473="","",$A473&amp;"|"&amp;COUNTIF($A$2:$A473,$A473))</f>
        <v/>
      </c>
    </row>
    <row r="474">
      <c r="A474" s="18" t="n"/>
      <c r="B474" s="18" t="n"/>
      <c r="C474" s="18" t="n"/>
      <c r="D474" s="30" t="n"/>
      <c r="E474" s="18" t="n"/>
      <c r="F474" s="5" t="n"/>
      <c r="G474">
        <f>IF($A474="","",$A474&amp;"|"&amp;COUNTIF($A$2:$A474,$A474))</f>
        <v/>
      </c>
    </row>
    <row r="475">
      <c r="A475" s="18" t="n"/>
      <c r="B475" s="18" t="n"/>
      <c r="C475" s="18" t="n"/>
      <c r="D475" s="30" t="n"/>
      <c r="E475" s="18" t="n"/>
      <c r="F475" s="5" t="n"/>
      <c r="G475">
        <f>IF($A475="","",$A475&amp;"|"&amp;COUNTIF($A$2:$A475,$A475))</f>
        <v/>
      </c>
    </row>
    <row r="476">
      <c r="A476" s="18" t="n"/>
      <c r="B476" s="18" t="n"/>
      <c r="C476" s="18" t="n"/>
      <c r="D476" s="30" t="n"/>
      <c r="E476" s="18" t="n"/>
      <c r="F476" s="5" t="n"/>
      <c r="G476">
        <f>IF($A476="","",$A476&amp;"|"&amp;COUNTIF($A$2:$A476,$A476))</f>
        <v/>
      </c>
    </row>
    <row r="477">
      <c r="A477" s="18" t="n"/>
      <c r="B477" s="18" t="n"/>
      <c r="C477" s="18" t="n"/>
      <c r="D477" s="30" t="n"/>
      <c r="E477" s="18" t="n"/>
      <c r="F477" s="5" t="n"/>
      <c r="G477">
        <f>IF($A477="","",$A477&amp;"|"&amp;COUNTIF($A$2:$A477,$A477))</f>
        <v/>
      </c>
    </row>
    <row r="478">
      <c r="A478" s="18" t="n"/>
      <c r="B478" s="18" t="n"/>
      <c r="C478" s="18" t="n"/>
      <c r="D478" s="30" t="n"/>
      <c r="E478" s="18" t="n"/>
      <c r="F478" s="5" t="n"/>
      <c r="G478">
        <f>IF($A478="","",$A478&amp;"|"&amp;COUNTIF($A$2:$A478,$A478))</f>
        <v/>
      </c>
    </row>
    <row r="479">
      <c r="A479" s="18" t="n"/>
      <c r="B479" s="18" t="n"/>
      <c r="C479" s="18" t="n"/>
      <c r="D479" s="30" t="n"/>
      <c r="E479" s="18" t="n"/>
      <c r="F479" s="5" t="n"/>
      <c r="G479">
        <f>IF($A479="","",$A479&amp;"|"&amp;COUNTIF($A$2:$A479,$A479))</f>
        <v/>
      </c>
    </row>
    <row r="480">
      <c r="A480" s="18" t="n"/>
      <c r="B480" s="18" t="n"/>
      <c r="C480" s="18" t="n"/>
      <c r="D480" s="30" t="n"/>
      <c r="E480" s="18" t="n"/>
      <c r="F480" s="5" t="n"/>
      <c r="G480">
        <f>IF($A480="","",$A480&amp;"|"&amp;COUNTIF($A$2:$A480,$A480))</f>
        <v/>
      </c>
    </row>
    <row r="481">
      <c r="A481" s="18" t="n"/>
      <c r="B481" s="18" t="n"/>
      <c r="C481" s="18" t="n"/>
      <c r="D481" s="30" t="n"/>
      <c r="E481" s="18" t="n"/>
      <c r="F481" s="5" t="n"/>
      <c r="G481">
        <f>IF($A481="","",$A481&amp;"|"&amp;COUNTIF($A$2:$A481,$A481))</f>
        <v/>
      </c>
    </row>
    <row r="482">
      <c r="A482" s="18" t="n"/>
      <c r="B482" s="18" t="n"/>
      <c r="C482" s="18" t="n"/>
      <c r="D482" s="30" t="n"/>
      <c r="E482" s="18" t="n"/>
      <c r="F482" s="5" t="n"/>
      <c r="G482">
        <f>IF($A482="","",$A482&amp;"|"&amp;COUNTIF($A$2:$A482,$A482))</f>
        <v/>
      </c>
    </row>
    <row r="483">
      <c r="A483" s="18" t="n"/>
      <c r="B483" s="18" t="n"/>
      <c r="C483" s="18" t="n"/>
      <c r="D483" s="30" t="n"/>
      <c r="E483" s="18" t="n"/>
      <c r="F483" s="5" t="n"/>
      <c r="G483">
        <f>IF($A483="","",$A483&amp;"|"&amp;COUNTIF($A$2:$A483,$A483))</f>
        <v/>
      </c>
    </row>
    <row r="484">
      <c r="A484" s="18" t="n"/>
      <c r="B484" s="18" t="n"/>
      <c r="C484" s="18" t="n"/>
      <c r="D484" s="30" t="n"/>
      <c r="E484" s="18" t="n"/>
      <c r="F484" s="5" t="n"/>
      <c r="G484">
        <f>IF($A484="","",$A484&amp;"|"&amp;COUNTIF($A$2:$A484,$A484))</f>
        <v/>
      </c>
    </row>
    <row r="485">
      <c r="A485" s="18" t="n"/>
      <c r="B485" s="18" t="n"/>
      <c r="C485" s="18" t="n"/>
      <c r="D485" s="30" t="n"/>
      <c r="E485" s="18" t="n"/>
      <c r="F485" s="5" t="n"/>
      <c r="G485">
        <f>IF($A485="","",$A485&amp;"|"&amp;COUNTIF($A$2:$A485,$A485))</f>
        <v/>
      </c>
    </row>
    <row r="486">
      <c r="A486" s="18" t="n"/>
      <c r="B486" s="18" t="n"/>
      <c r="C486" s="18" t="n"/>
      <c r="D486" s="30" t="n"/>
      <c r="E486" s="18" t="n"/>
      <c r="F486" s="5" t="n"/>
      <c r="G486">
        <f>IF($A486="","",$A486&amp;"|"&amp;COUNTIF($A$2:$A486,$A486))</f>
        <v/>
      </c>
    </row>
    <row r="487">
      <c r="A487" s="18" t="n"/>
      <c r="B487" s="18" t="n"/>
      <c r="C487" s="18" t="n"/>
      <c r="D487" s="30" t="n"/>
      <c r="E487" s="18" t="n"/>
      <c r="F487" s="5" t="n"/>
      <c r="G487">
        <f>IF($A487="","",$A487&amp;"|"&amp;COUNTIF($A$2:$A487,$A487))</f>
        <v/>
      </c>
    </row>
    <row r="488">
      <c r="A488" s="18" t="n"/>
      <c r="B488" s="18" t="n"/>
      <c r="C488" s="18" t="n"/>
      <c r="D488" s="30" t="n"/>
      <c r="E488" s="18" t="n"/>
      <c r="F488" s="5" t="n"/>
      <c r="G488">
        <f>IF($A488="","",$A488&amp;"|"&amp;COUNTIF($A$2:$A488,$A488))</f>
        <v/>
      </c>
    </row>
    <row r="489">
      <c r="A489" s="18" t="n"/>
      <c r="B489" s="18" t="n"/>
      <c r="C489" s="18" t="n"/>
      <c r="D489" s="30" t="n"/>
      <c r="E489" s="18" t="n"/>
      <c r="F489" s="5" t="n"/>
      <c r="G489">
        <f>IF($A489="","",$A489&amp;"|"&amp;COUNTIF($A$2:$A489,$A489))</f>
        <v/>
      </c>
    </row>
    <row r="490">
      <c r="A490" s="18" t="n"/>
      <c r="B490" s="18" t="n"/>
      <c r="C490" s="18" t="n"/>
      <c r="D490" s="30" t="n"/>
      <c r="E490" s="18" t="n"/>
      <c r="F490" s="5" t="n"/>
      <c r="G490">
        <f>IF($A490="","",$A490&amp;"|"&amp;COUNTIF($A$2:$A490,$A490))</f>
        <v/>
      </c>
    </row>
    <row r="491">
      <c r="A491" s="18" t="n"/>
      <c r="B491" s="18" t="n"/>
      <c r="C491" s="18" t="n"/>
      <c r="D491" s="30" t="n"/>
      <c r="E491" s="18" t="n"/>
      <c r="F491" s="5" t="n"/>
      <c r="G491">
        <f>IF($A491="","",$A491&amp;"|"&amp;COUNTIF($A$2:$A491,$A491))</f>
        <v/>
      </c>
    </row>
    <row r="492">
      <c r="A492" s="18" t="n"/>
      <c r="B492" s="18" t="n"/>
      <c r="C492" s="18" t="n"/>
      <c r="D492" s="30" t="n"/>
      <c r="E492" s="18" t="n"/>
      <c r="F492" s="5" t="n"/>
      <c r="G492">
        <f>IF($A492="","",$A492&amp;"|"&amp;COUNTIF($A$2:$A492,$A492))</f>
        <v/>
      </c>
    </row>
    <row r="493">
      <c r="A493" s="18" t="n"/>
      <c r="B493" s="18" t="n"/>
      <c r="C493" s="18" t="n"/>
      <c r="D493" s="30" t="n"/>
      <c r="E493" s="18" t="n"/>
      <c r="F493" s="5" t="n"/>
      <c r="G493">
        <f>IF($A493="","",$A493&amp;"|"&amp;COUNTIF($A$2:$A493,$A493))</f>
        <v/>
      </c>
    </row>
    <row r="494">
      <c r="A494" s="18" t="n"/>
      <c r="B494" s="18" t="n"/>
      <c r="C494" s="18" t="n"/>
      <c r="D494" s="30" t="n"/>
      <c r="E494" s="18" t="n"/>
      <c r="F494" s="5" t="n"/>
      <c r="G494">
        <f>IF($A494="","",$A494&amp;"|"&amp;COUNTIF($A$2:$A494,$A494))</f>
        <v/>
      </c>
    </row>
    <row r="495">
      <c r="A495" s="18" t="n"/>
      <c r="B495" s="18" t="n"/>
      <c r="C495" s="18" t="n"/>
      <c r="D495" s="30" t="n"/>
      <c r="E495" s="18" t="n"/>
      <c r="F495" s="5" t="n"/>
      <c r="G495">
        <f>IF($A495="","",$A495&amp;"|"&amp;COUNTIF($A$2:$A495,$A495))</f>
        <v/>
      </c>
    </row>
    <row r="496">
      <c r="A496" s="18" t="n"/>
      <c r="B496" s="18" t="n"/>
      <c r="C496" s="18" t="n"/>
      <c r="D496" s="30" t="n"/>
      <c r="E496" s="18" t="n"/>
      <c r="F496" s="5" t="n"/>
      <c r="G496">
        <f>IF($A496="","",$A496&amp;"|"&amp;COUNTIF($A$2:$A496,$A496))</f>
        <v/>
      </c>
    </row>
    <row r="497">
      <c r="A497" s="18" t="n"/>
      <c r="B497" s="18" t="n"/>
      <c r="C497" s="18" t="n"/>
      <c r="D497" s="30" t="n"/>
      <c r="E497" s="18" t="n"/>
      <c r="F497" s="5" t="n"/>
      <c r="G497">
        <f>IF($A497="","",$A497&amp;"|"&amp;COUNTIF($A$2:$A497,$A497))</f>
        <v/>
      </c>
    </row>
    <row r="498">
      <c r="A498" s="18" t="n"/>
      <c r="B498" s="18" t="n"/>
      <c r="C498" s="18" t="n"/>
      <c r="D498" s="30" t="n"/>
      <c r="E498" s="18" t="n"/>
      <c r="F498" s="5" t="n"/>
      <c r="G498">
        <f>IF($A498="","",$A498&amp;"|"&amp;COUNTIF($A$2:$A498,$A498))</f>
        <v/>
      </c>
    </row>
    <row r="499">
      <c r="A499" s="18" t="n"/>
      <c r="B499" s="18" t="n"/>
      <c r="C499" s="18" t="n"/>
      <c r="D499" s="30" t="n"/>
      <c r="E499" s="18" t="n"/>
      <c r="F499" s="5" t="n"/>
      <c r="G499">
        <f>IF($A499="","",$A499&amp;"|"&amp;COUNTIF($A$2:$A499,$A499))</f>
        <v/>
      </c>
    </row>
    <row r="500">
      <c r="A500" s="18" t="n"/>
      <c r="B500" s="18" t="n"/>
      <c r="C500" s="18" t="n"/>
      <c r="D500" s="30" t="n"/>
      <c r="E500" s="18" t="n"/>
      <c r="F500" s="5" t="n"/>
      <c r="G500">
        <f>IF($A500="","",$A500&amp;"|"&amp;COUNTIF($A$2:$A500,$A500))</f>
        <v/>
      </c>
    </row>
    <row r="501">
      <c r="A501" s="18" t="n"/>
      <c r="B501" s="18" t="n"/>
      <c r="C501" s="18" t="n"/>
      <c r="D501" s="30" t="n"/>
      <c r="E501" s="18" t="n"/>
      <c r="F501" s="5" t="n"/>
      <c r="G501">
        <f>IF($A501="","",$A501&amp;"|"&amp;COUNTIF($A$2:$A501,$A501))</f>
        <v/>
      </c>
    </row>
    <row r="502">
      <c r="A502" s="18" t="n"/>
      <c r="B502" s="18" t="n"/>
      <c r="C502" s="18" t="n"/>
      <c r="D502" s="30" t="n"/>
      <c r="E502" s="18" t="n"/>
      <c r="F502" s="5" t="n"/>
      <c r="G502">
        <f>IF($A502="","",$A502&amp;"|"&amp;COUNTIF($A$2:$A502,$A502))</f>
        <v/>
      </c>
    </row>
    <row r="503">
      <c r="A503" s="18" t="n"/>
      <c r="B503" s="18" t="n"/>
      <c r="C503" s="18" t="n"/>
      <c r="D503" s="30" t="n"/>
      <c r="E503" s="18" t="n"/>
      <c r="F503" s="5" t="n"/>
      <c r="G503">
        <f>IF($A503="","",$A503&amp;"|"&amp;COUNTIF($A$2:$A503,$A503))</f>
        <v/>
      </c>
    </row>
    <row r="504">
      <c r="A504" s="18" t="n"/>
      <c r="B504" s="18" t="n"/>
      <c r="C504" s="18" t="n"/>
      <c r="D504" s="30" t="n"/>
      <c r="E504" s="18" t="n"/>
      <c r="F504" s="5" t="n"/>
      <c r="G504">
        <f>IF($A504="","",$A504&amp;"|"&amp;COUNTIF($A$2:$A504,$A504))</f>
        <v/>
      </c>
    </row>
    <row r="505">
      <c r="A505" s="18" t="n"/>
      <c r="B505" s="18" t="n"/>
      <c r="C505" s="18" t="n"/>
      <c r="D505" s="30" t="n"/>
      <c r="E505" s="18" t="n"/>
      <c r="F505" s="5" t="n"/>
      <c r="G505">
        <f>IF($A505="","",$A505&amp;"|"&amp;COUNTIF($A$2:$A505,$A505))</f>
        <v/>
      </c>
    </row>
    <row r="506">
      <c r="A506" s="18" t="n"/>
      <c r="B506" s="18" t="n"/>
      <c r="C506" s="18" t="n"/>
      <c r="D506" s="30" t="n"/>
      <c r="E506" s="18" t="n"/>
      <c r="F506" s="5" t="n"/>
      <c r="G506">
        <f>IF($A506="","",$A506&amp;"|"&amp;COUNTIF($A$2:$A506,$A506))</f>
        <v/>
      </c>
    </row>
    <row r="507">
      <c r="A507" s="18" t="n"/>
      <c r="B507" s="18" t="n"/>
      <c r="C507" s="18" t="n"/>
      <c r="D507" s="30" t="n"/>
      <c r="E507" s="18" t="n"/>
      <c r="F507" s="5" t="n"/>
      <c r="G507">
        <f>IF($A507="","",$A507&amp;"|"&amp;COUNTIF($A$2:$A507,$A507))</f>
        <v/>
      </c>
    </row>
    <row r="508">
      <c r="A508" s="18" t="n"/>
      <c r="B508" s="18" t="n"/>
      <c r="C508" s="18" t="n"/>
      <c r="D508" s="30" t="n"/>
      <c r="E508" s="18" t="n"/>
      <c r="F508" s="5" t="n"/>
      <c r="G508">
        <f>IF($A508="","",$A508&amp;"|"&amp;COUNTIF($A$2:$A508,$A508))</f>
        <v/>
      </c>
    </row>
    <row r="509">
      <c r="A509" s="18" t="n"/>
      <c r="B509" s="18" t="n"/>
      <c r="C509" s="18" t="n"/>
      <c r="D509" s="30" t="n"/>
      <c r="E509" s="18" t="n"/>
      <c r="F509" s="5" t="n"/>
      <c r="G509">
        <f>IF($A509="","",$A509&amp;"|"&amp;COUNTIF($A$2:$A509,$A509))</f>
        <v/>
      </c>
    </row>
    <row r="510">
      <c r="A510" s="18" t="n"/>
      <c r="B510" s="18" t="n"/>
      <c r="C510" s="18" t="n"/>
      <c r="D510" s="30" t="n"/>
      <c r="E510" s="18" t="n"/>
      <c r="F510" s="5" t="n"/>
      <c r="G510">
        <f>IF($A510="","",$A510&amp;"|"&amp;COUNTIF($A$2:$A510,$A510))</f>
        <v/>
      </c>
    </row>
    <row r="511">
      <c r="A511" s="18" t="n"/>
      <c r="B511" s="18" t="n"/>
      <c r="C511" s="18" t="n"/>
      <c r="D511" s="30" t="n"/>
      <c r="E511" s="18" t="n"/>
      <c r="F511" s="5" t="n"/>
      <c r="G511">
        <f>IF($A511="","",$A511&amp;"|"&amp;COUNTIF($A$2:$A511,$A511))</f>
        <v/>
      </c>
    </row>
    <row r="512">
      <c r="A512" s="18" t="n"/>
      <c r="B512" s="18" t="n"/>
      <c r="C512" s="18" t="n"/>
      <c r="D512" s="30" t="n"/>
      <c r="E512" s="18" t="n"/>
      <c r="F512" s="5" t="n"/>
      <c r="G512">
        <f>IF($A512="","",$A512&amp;"|"&amp;COUNTIF($A$2:$A512,$A512))</f>
        <v/>
      </c>
    </row>
    <row r="513">
      <c r="A513" s="18" t="n"/>
      <c r="B513" s="18" t="n"/>
      <c r="C513" s="18" t="n"/>
      <c r="D513" s="30" t="n"/>
      <c r="E513" s="18" t="n"/>
      <c r="F513" s="5" t="n"/>
      <c r="G513">
        <f>IF($A513="","",$A513&amp;"|"&amp;COUNTIF($A$2:$A513,$A513))</f>
        <v/>
      </c>
    </row>
    <row r="514">
      <c r="A514" s="18" t="n"/>
      <c r="B514" s="18" t="n"/>
      <c r="C514" s="18" t="n"/>
      <c r="D514" s="30" t="n"/>
      <c r="E514" s="18" t="n"/>
      <c r="F514" s="5" t="n"/>
      <c r="G514">
        <f>IF($A514="","",$A514&amp;"|"&amp;COUNTIF($A$2:$A514,$A514))</f>
        <v/>
      </c>
    </row>
    <row r="515">
      <c r="A515" s="18" t="n"/>
      <c r="B515" s="18" t="n"/>
      <c r="C515" s="18" t="n"/>
      <c r="D515" s="30" t="n"/>
      <c r="E515" s="18" t="n"/>
      <c r="F515" s="5" t="n"/>
      <c r="G515">
        <f>IF($A515="","",$A515&amp;"|"&amp;COUNTIF($A$2:$A515,$A515))</f>
        <v/>
      </c>
    </row>
    <row r="516">
      <c r="A516" s="18" t="n"/>
      <c r="B516" s="18" t="n"/>
      <c r="C516" s="18" t="n"/>
      <c r="D516" s="30" t="n"/>
      <c r="E516" s="18" t="n"/>
      <c r="F516" s="5" t="n"/>
      <c r="G516">
        <f>IF($A516="","",$A516&amp;"|"&amp;COUNTIF($A$2:$A516,$A516))</f>
        <v/>
      </c>
    </row>
    <row r="517">
      <c r="A517" s="18" t="n"/>
      <c r="B517" s="18" t="n"/>
      <c r="C517" s="18" t="n"/>
      <c r="D517" s="30" t="n"/>
      <c r="E517" s="18" t="n"/>
      <c r="F517" s="5" t="n"/>
      <c r="G517">
        <f>IF($A517="","",$A517&amp;"|"&amp;COUNTIF($A$2:$A517,$A517))</f>
        <v/>
      </c>
    </row>
    <row r="518">
      <c r="A518" s="18" t="n"/>
      <c r="B518" s="18" t="n"/>
      <c r="C518" s="18" t="n"/>
      <c r="D518" s="30" t="n"/>
      <c r="E518" s="18" t="n"/>
      <c r="F518" s="5" t="n"/>
      <c r="G518">
        <f>IF($A518="","",$A518&amp;"|"&amp;COUNTIF($A$2:$A518,$A518))</f>
        <v/>
      </c>
    </row>
    <row r="519">
      <c r="A519" s="18" t="n"/>
      <c r="B519" s="18" t="n"/>
      <c r="C519" s="18" t="n"/>
      <c r="D519" s="30" t="n"/>
      <c r="E519" s="18" t="n"/>
      <c r="F519" s="5" t="n"/>
      <c r="G519">
        <f>IF($A519="","",$A519&amp;"|"&amp;COUNTIF($A$2:$A519,$A519))</f>
        <v/>
      </c>
    </row>
    <row r="520">
      <c r="A520" s="18" t="n"/>
      <c r="B520" s="18" t="n"/>
      <c r="C520" s="18" t="n"/>
      <c r="D520" s="30" t="n"/>
      <c r="E520" s="18" t="n"/>
      <c r="F520" s="5" t="n"/>
      <c r="G520">
        <f>IF($A520="","",$A520&amp;"|"&amp;COUNTIF($A$2:$A520,$A520))</f>
        <v/>
      </c>
    </row>
    <row r="521">
      <c r="A521" s="18" t="n"/>
      <c r="B521" s="18" t="n"/>
      <c r="C521" s="18" t="n"/>
      <c r="D521" s="30" t="n"/>
      <c r="E521" s="18" t="n"/>
      <c r="F521" s="5" t="n"/>
      <c r="G521">
        <f>IF($A521="","",$A521&amp;"|"&amp;COUNTIF($A$2:$A521,$A521))</f>
        <v/>
      </c>
    </row>
    <row r="522">
      <c r="A522" s="18" t="n"/>
      <c r="B522" s="18" t="n"/>
      <c r="C522" s="18" t="n"/>
      <c r="D522" s="30" t="n"/>
      <c r="E522" s="18" t="n"/>
      <c r="F522" s="5" t="n"/>
      <c r="G522">
        <f>IF($A522="","",$A522&amp;"|"&amp;COUNTIF($A$2:$A522,$A522))</f>
        <v/>
      </c>
    </row>
    <row r="523">
      <c r="A523" s="18" t="n"/>
      <c r="B523" s="18" t="n"/>
      <c r="C523" s="18" t="n"/>
      <c r="D523" s="30" t="n"/>
      <c r="E523" s="18" t="n"/>
      <c r="F523" s="5" t="n"/>
      <c r="G523">
        <f>IF($A523="","",$A523&amp;"|"&amp;COUNTIF($A$2:$A523,$A523))</f>
        <v/>
      </c>
    </row>
    <row r="524">
      <c r="A524" s="18" t="n"/>
      <c r="B524" s="18" t="n"/>
      <c r="C524" s="18" t="n"/>
      <c r="D524" s="30" t="n"/>
      <c r="E524" s="18" t="n"/>
      <c r="F524" s="5" t="n"/>
      <c r="G524">
        <f>IF($A524="","",$A524&amp;"|"&amp;COUNTIF($A$2:$A524,$A524))</f>
        <v/>
      </c>
    </row>
    <row r="525">
      <c r="A525" s="18" t="n"/>
      <c r="B525" s="18" t="n"/>
      <c r="C525" s="18" t="n"/>
      <c r="D525" s="30" t="n"/>
      <c r="E525" s="18" t="n"/>
      <c r="F525" s="5" t="n"/>
      <c r="G525">
        <f>IF($A525="","",$A525&amp;"|"&amp;COUNTIF($A$2:$A525,$A525))</f>
        <v/>
      </c>
    </row>
    <row r="526">
      <c r="A526" s="18" t="n"/>
      <c r="B526" s="18" t="n"/>
      <c r="C526" s="18" t="n"/>
      <c r="D526" s="30" t="n"/>
      <c r="E526" s="18" t="n"/>
      <c r="F526" s="5" t="n"/>
      <c r="G526">
        <f>IF($A526="","",$A526&amp;"|"&amp;COUNTIF($A$2:$A526,$A526))</f>
        <v/>
      </c>
    </row>
    <row r="527">
      <c r="A527" s="18" t="n"/>
      <c r="B527" s="18" t="n"/>
      <c r="C527" s="18" t="n"/>
      <c r="D527" s="30" t="n"/>
      <c r="E527" s="18" t="n"/>
      <c r="F527" s="5" t="n"/>
      <c r="G527">
        <f>IF($A527="","",$A527&amp;"|"&amp;COUNTIF($A$2:$A527,$A527))</f>
        <v/>
      </c>
    </row>
    <row r="528">
      <c r="A528" s="18" t="n"/>
      <c r="B528" s="18" t="n"/>
      <c r="C528" s="18" t="n"/>
      <c r="D528" s="30" t="n"/>
      <c r="E528" s="18" t="n"/>
      <c r="F528" s="5" t="n"/>
      <c r="G528">
        <f>IF($A528="","",$A528&amp;"|"&amp;COUNTIF($A$2:$A528,$A528))</f>
        <v/>
      </c>
    </row>
    <row r="529">
      <c r="A529" s="18" t="n"/>
      <c r="B529" s="18" t="n"/>
      <c r="C529" s="18" t="n"/>
      <c r="D529" s="30" t="n"/>
      <c r="E529" s="18" t="n"/>
      <c r="F529" s="5" t="n"/>
      <c r="G529">
        <f>IF($A529="","",$A529&amp;"|"&amp;COUNTIF($A$2:$A529,$A529))</f>
        <v/>
      </c>
    </row>
    <row r="530">
      <c r="A530" s="18" t="n"/>
      <c r="B530" s="18" t="n"/>
      <c r="C530" s="18" t="n"/>
      <c r="D530" s="30" t="n"/>
      <c r="E530" s="18" t="n"/>
      <c r="F530" s="5" t="n"/>
      <c r="G530">
        <f>IF($A530="","",$A530&amp;"|"&amp;COUNTIF($A$2:$A530,$A530))</f>
        <v/>
      </c>
    </row>
    <row r="531">
      <c r="A531" s="18" t="n"/>
      <c r="B531" s="18" t="n"/>
      <c r="C531" s="18" t="n"/>
      <c r="D531" s="30" t="n"/>
      <c r="E531" s="18" t="n"/>
      <c r="F531" s="5" t="n"/>
      <c r="G531">
        <f>IF($A531="","",$A531&amp;"|"&amp;COUNTIF($A$2:$A531,$A531))</f>
        <v/>
      </c>
    </row>
    <row r="532">
      <c r="A532" s="18" t="n"/>
      <c r="B532" s="18" t="n"/>
      <c r="C532" s="18" t="n"/>
      <c r="D532" s="30" t="n"/>
      <c r="E532" s="18" t="n"/>
      <c r="F532" s="5" t="n"/>
      <c r="G532">
        <f>IF($A532="","",$A532&amp;"|"&amp;COUNTIF($A$2:$A532,$A532))</f>
        <v/>
      </c>
    </row>
    <row r="533">
      <c r="A533" s="18" t="n"/>
      <c r="B533" s="18" t="n"/>
      <c r="C533" s="18" t="n"/>
      <c r="D533" s="30" t="n"/>
      <c r="E533" s="18" t="n"/>
      <c r="F533" s="5" t="n"/>
      <c r="G533">
        <f>IF($A533="","",$A533&amp;"|"&amp;COUNTIF($A$2:$A533,$A533))</f>
        <v/>
      </c>
    </row>
    <row r="534">
      <c r="A534" s="18" t="n"/>
      <c r="B534" s="18" t="n"/>
      <c r="C534" s="18" t="n"/>
      <c r="D534" s="30" t="n"/>
      <c r="E534" s="18" t="n"/>
      <c r="F534" s="5" t="n"/>
      <c r="G534">
        <f>IF($A534="","",$A534&amp;"|"&amp;COUNTIF($A$2:$A534,$A534))</f>
        <v/>
      </c>
    </row>
    <row r="535">
      <c r="A535" s="18" t="n"/>
      <c r="B535" s="18" t="n"/>
      <c r="C535" s="18" t="n"/>
      <c r="D535" s="30" t="n"/>
      <c r="E535" s="18" t="n"/>
      <c r="F535" s="5" t="n"/>
      <c r="G535">
        <f>IF($A535="","",$A535&amp;"|"&amp;COUNTIF($A$2:$A535,$A535))</f>
        <v/>
      </c>
    </row>
    <row r="536">
      <c r="A536" s="18" t="n"/>
      <c r="B536" s="18" t="n"/>
      <c r="C536" s="18" t="n"/>
      <c r="D536" s="30" t="n"/>
      <c r="E536" s="18" t="n"/>
      <c r="F536" s="5" t="n"/>
      <c r="G536">
        <f>IF($A536="","",$A536&amp;"|"&amp;COUNTIF($A$2:$A536,$A536))</f>
        <v/>
      </c>
    </row>
    <row r="537">
      <c r="A537" s="18" t="n"/>
      <c r="B537" s="18" t="n"/>
      <c r="C537" s="18" t="n"/>
      <c r="D537" s="30" t="n"/>
      <c r="E537" s="18" t="n"/>
      <c r="F537" s="5" t="n"/>
      <c r="G537">
        <f>IF($A537="","",$A537&amp;"|"&amp;COUNTIF($A$2:$A537,$A537))</f>
        <v/>
      </c>
    </row>
    <row r="538">
      <c r="A538" s="18" t="n"/>
      <c r="B538" s="18" t="n"/>
      <c r="C538" s="18" t="n"/>
      <c r="D538" s="30" t="n"/>
      <c r="E538" s="18" t="n"/>
      <c r="F538" s="5" t="n"/>
      <c r="G538">
        <f>IF($A538="","",$A538&amp;"|"&amp;COUNTIF($A$2:$A538,$A538))</f>
        <v/>
      </c>
    </row>
    <row r="539">
      <c r="A539" s="18" t="n"/>
      <c r="B539" s="18" t="n"/>
      <c r="C539" s="18" t="n"/>
      <c r="D539" s="30" t="n"/>
      <c r="E539" s="18" t="n"/>
      <c r="F539" s="5" t="n"/>
      <c r="G539">
        <f>IF($A539="","",$A539&amp;"|"&amp;COUNTIF($A$2:$A539,$A539))</f>
        <v/>
      </c>
    </row>
    <row r="540">
      <c r="A540" s="18" t="n"/>
      <c r="B540" s="18" t="n"/>
      <c r="C540" s="18" t="n"/>
      <c r="D540" s="30" t="n"/>
      <c r="E540" s="18" t="n"/>
      <c r="F540" s="5" t="n"/>
      <c r="G540">
        <f>IF($A540="","",$A540&amp;"|"&amp;COUNTIF($A$2:$A540,$A540))</f>
        <v/>
      </c>
    </row>
    <row r="541">
      <c r="A541" s="18" t="n"/>
      <c r="B541" s="18" t="n"/>
      <c r="C541" s="18" t="n"/>
      <c r="D541" s="30" t="n"/>
      <c r="E541" s="18" t="n"/>
      <c r="F541" s="5" t="n"/>
      <c r="G541">
        <f>IF($A541="","",$A541&amp;"|"&amp;COUNTIF($A$2:$A541,$A541))</f>
        <v/>
      </c>
    </row>
    <row r="542">
      <c r="A542" s="18" t="n"/>
      <c r="B542" s="18" t="n"/>
      <c r="C542" s="18" t="n"/>
      <c r="D542" s="30" t="n"/>
      <c r="E542" s="18" t="n"/>
      <c r="F542" s="5" t="n"/>
      <c r="G542">
        <f>IF($A542="","",$A542&amp;"|"&amp;COUNTIF($A$2:$A542,$A542))</f>
        <v/>
      </c>
    </row>
    <row r="543">
      <c r="A543" s="18" t="n"/>
      <c r="B543" s="18" t="n"/>
      <c r="C543" s="18" t="n"/>
      <c r="D543" s="30" t="n"/>
      <c r="E543" s="18" t="n"/>
      <c r="F543" s="5" t="n"/>
      <c r="G543">
        <f>IF($A543="","",$A543&amp;"|"&amp;COUNTIF($A$2:$A543,$A543))</f>
        <v/>
      </c>
    </row>
    <row r="544">
      <c r="A544" s="18" t="n"/>
      <c r="B544" s="18" t="n"/>
      <c r="C544" s="18" t="n"/>
      <c r="D544" s="30" t="n"/>
      <c r="E544" s="18" t="n"/>
      <c r="F544" s="5" t="n"/>
      <c r="G544">
        <f>IF($A544="","",$A544&amp;"|"&amp;COUNTIF($A$2:$A544,$A544))</f>
        <v/>
      </c>
    </row>
    <row r="545">
      <c r="A545" s="18" t="n"/>
      <c r="B545" s="18" t="n"/>
      <c r="C545" s="18" t="n"/>
      <c r="D545" s="30" t="n"/>
      <c r="E545" s="18" t="n"/>
      <c r="F545" s="5" t="n"/>
      <c r="G545">
        <f>IF($A545="","",$A545&amp;"|"&amp;COUNTIF($A$2:$A545,$A545))</f>
        <v/>
      </c>
    </row>
    <row r="546">
      <c r="A546" s="18" t="n"/>
      <c r="B546" s="18" t="n"/>
      <c r="C546" s="18" t="n"/>
      <c r="D546" s="30" t="n"/>
      <c r="E546" s="18" t="n"/>
      <c r="F546" s="5" t="n"/>
      <c r="G546">
        <f>IF($A546="","",$A546&amp;"|"&amp;COUNTIF($A$2:$A546,$A546))</f>
        <v/>
      </c>
    </row>
    <row r="547">
      <c r="A547" s="18" t="n"/>
      <c r="B547" s="18" t="n"/>
      <c r="C547" s="18" t="n"/>
      <c r="D547" s="30" t="n"/>
      <c r="E547" s="18" t="n"/>
      <c r="F547" s="5" t="n"/>
      <c r="G547">
        <f>IF($A547="","",$A547&amp;"|"&amp;COUNTIF($A$2:$A547,$A547))</f>
        <v/>
      </c>
    </row>
    <row r="548">
      <c r="A548" s="18" t="n"/>
      <c r="B548" s="18" t="n"/>
      <c r="C548" s="18" t="n"/>
      <c r="D548" s="30" t="n"/>
      <c r="E548" s="18" t="n"/>
      <c r="F548" s="5" t="n"/>
      <c r="G548">
        <f>IF($A548="","",$A548&amp;"|"&amp;COUNTIF($A$2:$A548,$A548))</f>
        <v/>
      </c>
    </row>
    <row r="549">
      <c r="A549" s="18" t="n"/>
      <c r="B549" s="18" t="n"/>
      <c r="C549" s="18" t="n"/>
      <c r="D549" s="30" t="n"/>
      <c r="E549" s="18" t="n"/>
      <c r="F549" s="5" t="n"/>
      <c r="G549">
        <f>IF($A549="","",$A549&amp;"|"&amp;COUNTIF($A$2:$A549,$A549))</f>
        <v/>
      </c>
    </row>
    <row r="550">
      <c r="A550" s="18" t="n"/>
      <c r="B550" s="18" t="n"/>
      <c r="C550" s="18" t="n"/>
      <c r="D550" s="30" t="n"/>
      <c r="E550" s="18" t="n"/>
      <c r="F550" s="5" t="n"/>
      <c r="G550">
        <f>IF($A550="","",$A550&amp;"|"&amp;COUNTIF($A$2:$A550,$A550))</f>
        <v/>
      </c>
    </row>
    <row r="551">
      <c r="A551" s="18" t="n"/>
      <c r="B551" s="18" t="n"/>
      <c r="C551" s="18" t="n"/>
      <c r="D551" s="30" t="n"/>
      <c r="E551" s="18" t="n"/>
      <c r="F551" s="5" t="n"/>
      <c r="G551">
        <f>IF($A551="","",$A551&amp;"|"&amp;COUNTIF($A$2:$A551,$A551))</f>
        <v/>
      </c>
    </row>
    <row r="552">
      <c r="A552" s="18" t="n"/>
      <c r="B552" s="18" t="n"/>
      <c r="C552" s="18" t="n"/>
      <c r="D552" s="30" t="n"/>
      <c r="E552" s="18" t="n"/>
      <c r="F552" s="5" t="n"/>
      <c r="G552">
        <f>IF($A552="","",$A552&amp;"|"&amp;COUNTIF($A$2:$A552,$A552))</f>
        <v/>
      </c>
    </row>
    <row r="553">
      <c r="A553" s="18" t="n"/>
      <c r="B553" s="18" t="n"/>
      <c r="C553" s="18" t="n"/>
      <c r="D553" s="30" t="n"/>
      <c r="E553" s="18" t="n"/>
      <c r="F553" s="5" t="n"/>
      <c r="G553">
        <f>IF($A553="","",$A553&amp;"|"&amp;COUNTIF($A$2:$A553,$A553))</f>
        <v/>
      </c>
    </row>
    <row r="554">
      <c r="A554" s="18" t="n"/>
      <c r="B554" s="18" t="n"/>
      <c r="C554" s="18" t="n"/>
      <c r="D554" s="30" t="n"/>
      <c r="E554" s="18" t="n"/>
      <c r="F554" s="5" t="n"/>
      <c r="G554">
        <f>IF($A554="","",$A554&amp;"|"&amp;COUNTIF($A$2:$A554,$A554))</f>
        <v/>
      </c>
    </row>
    <row r="555">
      <c r="A555" s="18" t="n"/>
      <c r="B555" s="18" t="n"/>
      <c r="C555" s="18" t="n"/>
      <c r="D555" s="30" t="n"/>
      <c r="E555" s="18" t="n"/>
      <c r="F555" s="5" t="n"/>
      <c r="G555">
        <f>IF($A555="","",$A555&amp;"|"&amp;COUNTIF($A$2:$A555,$A555))</f>
        <v/>
      </c>
    </row>
    <row r="556">
      <c r="A556" s="18" t="n"/>
      <c r="B556" s="18" t="n"/>
      <c r="C556" s="18" t="n"/>
      <c r="D556" s="30" t="n"/>
      <c r="E556" s="18" t="n"/>
      <c r="F556" s="5" t="n"/>
      <c r="G556">
        <f>IF($A556="","",$A556&amp;"|"&amp;COUNTIF($A$2:$A556,$A556))</f>
        <v/>
      </c>
    </row>
    <row r="557">
      <c r="A557" s="18" t="n"/>
      <c r="B557" s="18" t="n"/>
      <c r="C557" s="18" t="n"/>
      <c r="D557" s="30" t="n"/>
      <c r="E557" s="18" t="n"/>
      <c r="F557" s="5" t="n"/>
      <c r="G557">
        <f>IF($A557="","",$A557&amp;"|"&amp;COUNTIF($A$2:$A557,$A557))</f>
        <v/>
      </c>
    </row>
    <row r="558">
      <c r="A558" s="18" t="n"/>
      <c r="B558" s="18" t="n"/>
      <c r="C558" s="18" t="n"/>
      <c r="D558" s="30" t="n"/>
      <c r="E558" s="18" t="n"/>
      <c r="F558" s="5" t="n"/>
      <c r="G558">
        <f>IF($A558="","",$A558&amp;"|"&amp;COUNTIF($A$2:$A558,$A558))</f>
        <v/>
      </c>
    </row>
    <row r="559">
      <c r="A559" s="18" t="n"/>
      <c r="B559" s="18" t="n"/>
      <c r="C559" s="18" t="n"/>
      <c r="D559" s="30" t="n"/>
      <c r="E559" s="18" t="n"/>
      <c r="F559" s="5" t="n"/>
      <c r="G559">
        <f>IF($A559="","",$A559&amp;"|"&amp;COUNTIF($A$2:$A559,$A559))</f>
        <v/>
      </c>
    </row>
    <row r="560">
      <c r="A560" s="18" t="n"/>
      <c r="B560" s="18" t="n"/>
      <c r="C560" s="18" t="n"/>
      <c r="D560" s="30" t="n"/>
      <c r="E560" s="18" t="n"/>
      <c r="F560" s="5" t="n"/>
      <c r="G560">
        <f>IF($A560="","",$A560&amp;"|"&amp;COUNTIF($A$2:$A560,$A560))</f>
        <v/>
      </c>
    </row>
    <row r="561">
      <c r="A561" s="18" t="n"/>
      <c r="B561" s="18" t="n"/>
      <c r="C561" s="18" t="n"/>
      <c r="D561" s="30" t="n"/>
      <c r="E561" s="18" t="n"/>
      <c r="F561" s="5" t="n"/>
      <c r="G561">
        <f>IF($A561="","",$A561&amp;"|"&amp;COUNTIF($A$2:$A561,$A561))</f>
        <v/>
      </c>
    </row>
    <row r="562">
      <c r="A562" s="18" t="n"/>
      <c r="B562" s="18" t="n"/>
      <c r="C562" s="18" t="n"/>
      <c r="D562" s="30" t="n"/>
      <c r="E562" s="18" t="n"/>
      <c r="F562" s="5" t="n"/>
      <c r="G562">
        <f>IF($A562="","",$A562&amp;"|"&amp;COUNTIF($A$2:$A562,$A562))</f>
        <v/>
      </c>
    </row>
    <row r="563">
      <c r="A563" s="18" t="n"/>
      <c r="B563" s="18" t="n"/>
      <c r="C563" s="18" t="n"/>
      <c r="D563" s="30" t="n"/>
      <c r="E563" s="18" t="n"/>
      <c r="F563" s="5" t="n"/>
      <c r="G563">
        <f>IF($A563="","",$A563&amp;"|"&amp;COUNTIF($A$2:$A563,$A563))</f>
        <v/>
      </c>
    </row>
    <row r="564">
      <c r="A564" s="18" t="n"/>
      <c r="B564" s="18" t="n"/>
      <c r="C564" s="18" t="n"/>
      <c r="D564" s="30" t="n"/>
      <c r="E564" s="18" t="n"/>
      <c r="F564" s="5" t="n"/>
      <c r="G564">
        <f>IF($A564="","",$A564&amp;"|"&amp;COUNTIF($A$2:$A564,$A564))</f>
        <v/>
      </c>
    </row>
    <row r="565">
      <c r="A565" s="18" t="n"/>
      <c r="B565" s="18" t="n"/>
      <c r="C565" s="18" t="n"/>
      <c r="D565" s="30" t="n"/>
      <c r="E565" s="18" t="n"/>
      <c r="F565" s="5" t="n"/>
      <c r="G565">
        <f>IF($A565="","",$A565&amp;"|"&amp;COUNTIF($A$2:$A565,$A565))</f>
        <v/>
      </c>
    </row>
    <row r="566">
      <c r="A566" s="18" t="n"/>
      <c r="B566" s="18" t="n"/>
      <c r="C566" s="18" t="n"/>
      <c r="D566" s="30" t="n"/>
      <c r="E566" s="18" t="n"/>
      <c r="F566" s="5" t="n"/>
      <c r="G566">
        <f>IF($A566="","",$A566&amp;"|"&amp;COUNTIF($A$2:$A566,$A566))</f>
        <v/>
      </c>
    </row>
    <row r="567">
      <c r="A567" s="18" t="n"/>
      <c r="B567" s="18" t="n"/>
      <c r="C567" s="18" t="n"/>
      <c r="D567" s="30" t="n"/>
      <c r="E567" s="18" t="n"/>
      <c r="F567" s="5" t="n"/>
      <c r="G567">
        <f>IF($A567="","",$A567&amp;"|"&amp;COUNTIF($A$2:$A567,$A567))</f>
        <v/>
      </c>
    </row>
    <row r="568">
      <c r="A568" s="18" t="n"/>
      <c r="B568" s="18" t="n"/>
      <c r="C568" s="18" t="n"/>
      <c r="D568" s="30" t="n"/>
      <c r="E568" s="18" t="n"/>
      <c r="F568" s="5" t="n"/>
      <c r="G568">
        <f>IF($A568="","",$A568&amp;"|"&amp;COUNTIF($A$2:$A568,$A568))</f>
        <v/>
      </c>
    </row>
    <row r="569">
      <c r="A569" s="18" t="n"/>
      <c r="B569" s="18" t="n"/>
      <c r="C569" s="18" t="n"/>
      <c r="D569" s="30" t="n"/>
      <c r="E569" s="18" t="n"/>
      <c r="F569" s="5" t="n"/>
      <c r="G569">
        <f>IF($A569="","",$A569&amp;"|"&amp;COUNTIF($A$2:$A569,$A569))</f>
        <v/>
      </c>
    </row>
    <row r="570">
      <c r="A570" s="18" t="n"/>
      <c r="B570" s="18" t="n"/>
      <c r="C570" s="18" t="n"/>
      <c r="D570" s="30" t="n"/>
      <c r="E570" s="18" t="n"/>
      <c r="F570" s="5" t="n"/>
      <c r="G570">
        <f>IF($A570="","",$A570&amp;"|"&amp;COUNTIF($A$2:$A570,$A570))</f>
        <v/>
      </c>
    </row>
    <row r="571">
      <c r="A571" s="18" t="n"/>
      <c r="B571" s="18" t="n"/>
      <c r="C571" s="18" t="n"/>
      <c r="D571" s="30" t="n"/>
      <c r="E571" s="18" t="n"/>
      <c r="F571" s="5" t="n"/>
      <c r="G571">
        <f>IF($A571="","",$A571&amp;"|"&amp;COUNTIF($A$2:$A571,$A571))</f>
        <v/>
      </c>
    </row>
    <row r="572">
      <c r="A572" s="18" t="n"/>
      <c r="B572" s="18" t="n"/>
      <c r="C572" s="18" t="n"/>
      <c r="D572" s="30" t="n"/>
      <c r="E572" s="18" t="n"/>
      <c r="F572" s="5" t="n"/>
      <c r="G572">
        <f>IF($A572="","",$A572&amp;"|"&amp;COUNTIF($A$2:$A572,$A572))</f>
        <v/>
      </c>
    </row>
    <row r="573">
      <c r="A573" s="18" t="n"/>
      <c r="B573" s="18" t="n"/>
      <c r="C573" s="18" t="n"/>
      <c r="D573" s="30" t="n"/>
      <c r="E573" s="18" t="n"/>
      <c r="F573" s="5" t="n"/>
      <c r="G573">
        <f>IF($A573="","",$A573&amp;"|"&amp;COUNTIF($A$2:$A573,$A573))</f>
        <v/>
      </c>
    </row>
    <row r="574">
      <c r="A574" s="18" t="n"/>
      <c r="B574" s="18" t="n"/>
      <c r="C574" s="18" t="n"/>
      <c r="D574" s="30" t="n"/>
      <c r="E574" s="18" t="n"/>
      <c r="F574" s="5" t="n"/>
      <c r="G574">
        <f>IF($A574="","",$A574&amp;"|"&amp;COUNTIF($A$2:$A574,$A574))</f>
        <v/>
      </c>
    </row>
    <row r="575">
      <c r="A575" s="18" t="n"/>
      <c r="B575" s="18" t="n"/>
      <c r="C575" s="18" t="n"/>
      <c r="D575" s="30" t="n"/>
      <c r="E575" s="18" t="n"/>
      <c r="F575" s="5" t="n"/>
      <c r="G575">
        <f>IF($A575="","",$A575&amp;"|"&amp;COUNTIF($A$2:$A575,$A575))</f>
        <v/>
      </c>
    </row>
    <row r="576">
      <c r="A576" s="18" t="n"/>
      <c r="B576" s="18" t="n"/>
      <c r="C576" s="18" t="n"/>
      <c r="D576" s="30" t="n"/>
      <c r="E576" s="18" t="n"/>
      <c r="F576" s="5" t="n"/>
      <c r="G576">
        <f>IF($A576="","",$A576&amp;"|"&amp;COUNTIF($A$2:$A576,$A576))</f>
        <v/>
      </c>
    </row>
    <row r="577">
      <c r="A577" s="18" t="n"/>
      <c r="B577" s="18" t="n"/>
      <c r="C577" s="18" t="n"/>
      <c r="D577" s="30" t="n"/>
      <c r="E577" s="18" t="n"/>
      <c r="F577" s="5" t="n"/>
      <c r="G577">
        <f>IF($A577="","",$A577&amp;"|"&amp;COUNTIF($A$2:$A577,$A577))</f>
        <v/>
      </c>
    </row>
    <row r="578">
      <c r="A578" s="18" t="n"/>
      <c r="B578" s="18" t="n"/>
      <c r="C578" s="18" t="n"/>
      <c r="D578" s="30" t="n"/>
      <c r="E578" s="18" t="n"/>
      <c r="F578" s="5" t="n"/>
      <c r="G578">
        <f>IF($A578="","",$A578&amp;"|"&amp;COUNTIF($A$2:$A578,$A578))</f>
        <v/>
      </c>
    </row>
    <row r="579">
      <c r="A579" s="18" t="n"/>
      <c r="B579" s="18" t="n"/>
      <c r="C579" s="18" t="n"/>
      <c r="D579" s="30" t="n"/>
      <c r="E579" s="18" t="n"/>
      <c r="F579" s="5" t="n"/>
      <c r="G579">
        <f>IF($A579="","",$A579&amp;"|"&amp;COUNTIF($A$2:$A579,$A579))</f>
        <v/>
      </c>
    </row>
    <row r="580">
      <c r="A580" s="18" t="n"/>
      <c r="B580" s="18" t="n"/>
      <c r="C580" s="18" t="n"/>
      <c r="D580" s="30" t="n"/>
      <c r="E580" s="18" t="n"/>
      <c r="F580" s="5" t="n"/>
      <c r="G580">
        <f>IF($A580="","",$A580&amp;"|"&amp;COUNTIF($A$2:$A580,$A580))</f>
        <v/>
      </c>
    </row>
    <row r="581">
      <c r="A581" s="18" t="n"/>
      <c r="B581" s="18" t="n"/>
      <c r="C581" s="18" t="n"/>
      <c r="D581" s="30" t="n"/>
      <c r="E581" s="18" t="n"/>
      <c r="F581" s="5" t="n"/>
      <c r="G581">
        <f>IF($A581="","",$A581&amp;"|"&amp;COUNTIF($A$2:$A581,$A581))</f>
        <v/>
      </c>
    </row>
    <row r="582">
      <c r="A582" s="18" t="n"/>
      <c r="B582" s="18" t="n"/>
      <c r="C582" s="18" t="n"/>
      <c r="D582" s="30" t="n"/>
      <c r="E582" s="18" t="n"/>
      <c r="F582" s="5" t="n"/>
      <c r="G582">
        <f>IF($A582="","",$A582&amp;"|"&amp;COUNTIF($A$2:$A582,$A582))</f>
        <v/>
      </c>
    </row>
    <row r="583">
      <c r="A583" s="18" t="n"/>
      <c r="B583" s="18" t="n"/>
      <c r="C583" s="18" t="n"/>
      <c r="D583" s="30" t="n"/>
      <c r="E583" s="18" t="n"/>
      <c r="F583" s="5" t="n"/>
      <c r="G583">
        <f>IF($A583="","",$A583&amp;"|"&amp;COUNTIF($A$2:$A583,$A583))</f>
        <v/>
      </c>
    </row>
    <row r="584">
      <c r="A584" s="18" t="n"/>
      <c r="B584" s="18" t="n"/>
      <c r="C584" s="18" t="n"/>
      <c r="D584" s="30" t="n"/>
      <c r="E584" s="18" t="n"/>
      <c r="F584" s="5" t="n"/>
      <c r="G584">
        <f>IF($A584="","",$A584&amp;"|"&amp;COUNTIF($A$2:$A584,$A584))</f>
        <v/>
      </c>
    </row>
    <row r="585">
      <c r="A585" s="18" t="n"/>
      <c r="B585" s="18" t="n"/>
      <c r="C585" s="18" t="n"/>
      <c r="D585" s="30" t="n"/>
      <c r="E585" s="18" t="n"/>
      <c r="F585" s="5" t="n"/>
      <c r="G585">
        <f>IF($A585="","",$A585&amp;"|"&amp;COUNTIF($A$2:$A585,$A585))</f>
        <v/>
      </c>
    </row>
    <row r="586">
      <c r="A586" s="18" t="n"/>
      <c r="B586" s="18" t="n"/>
      <c r="C586" s="18" t="n"/>
      <c r="D586" s="30" t="n"/>
      <c r="E586" s="18" t="n"/>
      <c r="F586" s="5" t="n"/>
      <c r="G586">
        <f>IF($A586="","",$A586&amp;"|"&amp;COUNTIF($A$2:$A586,$A586))</f>
        <v/>
      </c>
    </row>
    <row r="587">
      <c r="A587" s="18" t="n"/>
      <c r="B587" s="18" t="n"/>
      <c r="C587" s="18" t="n"/>
      <c r="D587" s="30" t="n"/>
      <c r="E587" s="18" t="n"/>
      <c r="F587" s="5" t="n"/>
      <c r="G587">
        <f>IF($A587="","",$A587&amp;"|"&amp;COUNTIF($A$2:$A587,$A587))</f>
        <v/>
      </c>
    </row>
    <row r="588">
      <c r="A588" s="18" t="n"/>
      <c r="B588" s="18" t="n"/>
      <c r="C588" s="18" t="n"/>
      <c r="D588" s="30" t="n"/>
      <c r="E588" s="18" t="n"/>
      <c r="F588" s="5" t="n"/>
      <c r="G588">
        <f>IF($A588="","",$A588&amp;"|"&amp;COUNTIF($A$2:$A588,$A588))</f>
        <v/>
      </c>
    </row>
    <row r="589">
      <c r="A589" s="18" t="n"/>
      <c r="B589" s="18" t="n"/>
      <c r="C589" s="18" t="n"/>
      <c r="D589" s="30" t="n"/>
      <c r="E589" s="18" t="n"/>
      <c r="F589" s="5" t="n"/>
      <c r="G589">
        <f>IF($A589="","",$A589&amp;"|"&amp;COUNTIF($A$2:$A589,$A589))</f>
        <v/>
      </c>
    </row>
    <row r="590">
      <c r="A590" s="18" t="n"/>
      <c r="B590" s="18" t="n"/>
      <c r="C590" s="18" t="n"/>
      <c r="D590" s="30" t="n"/>
      <c r="E590" s="18" t="n"/>
      <c r="F590" s="5" t="n"/>
      <c r="G590">
        <f>IF($A590="","",$A590&amp;"|"&amp;COUNTIF($A$2:$A590,$A590))</f>
        <v/>
      </c>
    </row>
    <row r="591">
      <c r="A591" s="18" t="n"/>
      <c r="B591" s="18" t="n"/>
      <c r="C591" s="18" t="n"/>
      <c r="D591" s="30" t="n"/>
      <c r="E591" s="18" t="n"/>
      <c r="F591" s="5" t="n"/>
      <c r="G591">
        <f>IF($A591="","",$A591&amp;"|"&amp;COUNTIF($A$2:$A591,$A591))</f>
        <v/>
      </c>
    </row>
    <row r="592">
      <c r="A592" s="18" t="n"/>
      <c r="B592" s="18" t="n"/>
      <c r="C592" s="18" t="n"/>
      <c r="D592" s="30" t="n"/>
      <c r="E592" s="18" t="n"/>
      <c r="F592" s="5" t="n"/>
      <c r="G592">
        <f>IF($A592="","",$A592&amp;"|"&amp;COUNTIF($A$2:$A592,$A592))</f>
        <v/>
      </c>
    </row>
    <row r="593">
      <c r="A593" s="18" t="n"/>
      <c r="B593" s="18" t="n"/>
      <c r="C593" s="18" t="n"/>
      <c r="D593" s="30" t="n"/>
      <c r="E593" s="18" t="n"/>
      <c r="F593" s="5" t="n"/>
      <c r="G593">
        <f>IF($A593="","",$A593&amp;"|"&amp;COUNTIF($A$2:$A593,$A593))</f>
        <v/>
      </c>
    </row>
    <row r="594">
      <c r="A594" s="18" t="n"/>
      <c r="B594" s="18" t="n"/>
      <c r="C594" s="18" t="n"/>
      <c r="D594" s="30" t="n"/>
      <c r="E594" s="18" t="n"/>
      <c r="F594" s="5" t="n"/>
      <c r="G594">
        <f>IF($A594="","",$A594&amp;"|"&amp;COUNTIF($A$2:$A594,$A594))</f>
        <v/>
      </c>
    </row>
    <row r="595">
      <c r="A595" s="18" t="n"/>
      <c r="B595" s="18" t="n"/>
      <c r="C595" s="18" t="n"/>
      <c r="D595" s="30" t="n"/>
      <c r="E595" s="18" t="n"/>
      <c r="F595" s="5" t="n"/>
      <c r="G595">
        <f>IF($A595="","",$A595&amp;"|"&amp;COUNTIF($A$2:$A595,$A595))</f>
        <v/>
      </c>
    </row>
    <row r="596">
      <c r="A596" s="18" t="n"/>
      <c r="B596" s="18" t="n"/>
      <c r="C596" s="18" t="n"/>
      <c r="D596" s="30" t="n"/>
      <c r="E596" s="18" t="n"/>
      <c r="F596" s="5" t="n"/>
      <c r="G596">
        <f>IF($A596="","",$A596&amp;"|"&amp;COUNTIF($A$2:$A596,$A596))</f>
        <v/>
      </c>
    </row>
    <row r="597">
      <c r="A597" s="18" t="n"/>
      <c r="B597" s="18" t="n"/>
      <c r="C597" s="18" t="n"/>
      <c r="D597" s="30" t="n"/>
      <c r="E597" s="18" t="n"/>
      <c r="F597" s="5" t="n"/>
      <c r="G597">
        <f>IF($A597="","",$A597&amp;"|"&amp;COUNTIF($A$2:$A597,$A597))</f>
        <v/>
      </c>
    </row>
    <row r="598">
      <c r="A598" s="18" t="n"/>
      <c r="B598" s="18" t="n"/>
      <c r="C598" s="18" t="n"/>
      <c r="D598" s="30" t="n"/>
      <c r="E598" s="18" t="n"/>
      <c r="F598" s="5" t="n"/>
      <c r="G598">
        <f>IF($A598="","",$A598&amp;"|"&amp;COUNTIF($A$2:$A598,$A598))</f>
        <v/>
      </c>
    </row>
    <row r="599">
      <c r="A599" s="18" t="n"/>
      <c r="B599" s="18" t="n"/>
      <c r="C599" s="18" t="n"/>
      <c r="D599" s="30" t="n"/>
      <c r="E599" s="18" t="n"/>
      <c r="F599" s="5" t="n"/>
      <c r="G599">
        <f>IF($A599="","",$A599&amp;"|"&amp;COUNTIF($A$2:$A599,$A599))</f>
        <v/>
      </c>
    </row>
    <row r="600">
      <c r="A600" s="18" t="n"/>
      <c r="B600" s="18" t="n"/>
      <c r="C600" s="18" t="n"/>
      <c r="D600" s="30" t="n"/>
      <c r="E600" s="18" t="n"/>
      <c r="F600" s="5" t="n"/>
      <c r="G600">
        <f>IF($A600="","",$A600&amp;"|"&amp;COUNTIF($A$2:$A600,$A600))</f>
        <v/>
      </c>
    </row>
    <row r="601">
      <c r="A601" s="18" t="n"/>
      <c r="B601" s="18" t="n"/>
      <c r="C601" s="18" t="n"/>
      <c r="D601" s="30" t="n"/>
      <c r="E601" s="18" t="n"/>
      <c r="F601" s="5" t="n"/>
      <c r="G601">
        <f>IF($A601="","",$A601&amp;"|"&amp;COUNTIF($A$2:$A601,$A601))</f>
        <v/>
      </c>
    </row>
  </sheetData>
  <conditionalFormatting sqref="A2:A601">
    <cfRule type="expression" priority="1" dxfId="2">
      <formula>AND($A2&lt;&gt;"",COUNTIF('Title Companies'!$A$2:$A$101,$A2)=0)</formula>
    </cfRule>
    <cfRule type="expression" priority="2" dxfId="4">
      <formula>AND($A2&lt;&gt;"",COUNTIF($A$2:$A$601,$A2)&gt;6)</formula>
    </cfRule>
  </conditionalFormatting>
  <conditionalFormatting sqref="C2:C601">
    <cfRule type="expression" priority="3" dxfId="4">
      <formula>AND($C2&lt;&gt;"",$D2="",$E2="")</formula>
    </cfRule>
  </conditionalFormatting>
  <conditionalFormatting sqref="A2:F601">
    <cfRule type="expression" priority="10" dxfId="3">
      <formula>MOD(ROW(),2)=0</formula>
    </cfRule>
  </conditionalFormatting>
  <dataValidations count="2">
    <dataValidation sqref="A2:A601" showDropDown="0" showInputMessage="0" showErrorMessage="0" allowBlank="1" type="list">
      <formula1>TitleList</formula1>
    </dataValidation>
    <dataValidation sqref="B2:B601" showDropDown="0" showInputMessage="0" showErrorMessage="0" allowBlank="1" type="list">
      <formula1>TitleRoleList</formula1>
    </dataValidation>
  </dataValidations>
  <pageMargins left="0.75" right="0.75" top="1" bottom="1" header="0.5" footer="0.5"/>
</worksheet>
</file>

<file path=xl/worksheets/sheet7.xml><?xml version="1.0" encoding="utf-8"?>
<worksheet xmlns="http://schemas.openxmlformats.org/spreadsheetml/2006/main">
  <sheetPr>
    <tabColor rgb="00548235"/>
    <outlinePr summaryBelow="1" summaryRight="1"/>
    <pageSetUpPr/>
  </sheetPr>
  <dimension ref="A1:G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18" customWidth="1" min="3" max="3"/>
    <col width="18" customWidth="1" min="4" max="4"/>
    <col width="32" customWidth="1" min="5" max="5"/>
    <col width="32" customWidth="1" min="6" max="6"/>
    <col width="55" customWidth="1" min="7" max="7"/>
  </cols>
  <sheetData>
    <row r="1" ht="28" customHeight="1">
      <c r="A1" s="17" t="inlineStr">
        <is>
          <t>Name</t>
        </is>
      </c>
      <c r="B1" s="17" t="inlineStr">
        <is>
          <t>Company or Role</t>
        </is>
      </c>
      <c r="C1" s="17" t="inlineStr">
        <is>
          <t>Phone</t>
        </is>
      </c>
      <c r="D1" s="17" t="inlineStr">
        <is>
          <t>Second Phone</t>
        </is>
      </c>
      <c r="E1" s="17" t="inlineStr">
        <is>
          <t>Email</t>
        </is>
      </c>
      <c r="F1" s="17" t="inlineStr">
        <is>
          <t>Second Email</t>
        </is>
      </c>
      <c r="G1" s="17" t="inlineStr">
        <is>
          <t>Notes</t>
        </is>
      </c>
    </row>
    <row r="2">
      <c r="A2" s="18" t="n"/>
      <c r="B2" s="18" t="n"/>
      <c r="C2" s="30" t="n"/>
      <c r="D2" s="30" t="n"/>
      <c r="E2" s="18" t="n"/>
      <c r="F2" s="18" t="n"/>
      <c r="G2" s="5" t="n"/>
    </row>
    <row r="3">
      <c r="A3" s="18" t="n"/>
      <c r="B3" s="18" t="n"/>
      <c r="C3" s="30" t="n"/>
      <c r="D3" s="30" t="n"/>
      <c r="E3" s="18" t="n"/>
      <c r="F3" s="18" t="n"/>
      <c r="G3" s="5" t="n"/>
    </row>
    <row r="4">
      <c r="A4" s="18" t="n"/>
      <c r="B4" s="18" t="n"/>
      <c r="C4" s="30" t="n"/>
      <c r="D4" s="30" t="n"/>
      <c r="E4" s="18" t="n"/>
      <c r="F4" s="18" t="n"/>
      <c r="G4" s="5" t="n"/>
    </row>
    <row r="5">
      <c r="A5" s="18" t="n"/>
      <c r="B5" s="18" t="n"/>
      <c r="C5" s="30" t="n"/>
      <c r="D5" s="30" t="n"/>
      <c r="E5" s="18" t="n"/>
      <c r="F5" s="18" t="n"/>
      <c r="G5" s="5" t="n"/>
    </row>
    <row r="6">
      <c r="A6" s="18" t="n"/>
      <c r="B6" s="18" t="n"/>
      <c r="C6" s="30" t="n"/>
      <c r="D6" s="30" t="n"/>
      <c r="E6" s="18" t="n"/>
      <c r="F6" s="18" t="n"/>
      <c r="G6" s="5" t="n"/>
    </row>
    <row r="7">
      <c r="A7" s="18" t="n"/>
      <c r="B7" s="18" t="n"/>
      <c r="C7" s="30" t="n"/>
      <c r="D7" s="30" t="n"/>
      <c r="E7" s="18" t="n"/>
      <c r="F7" s="18" t="n"/>
      <c r="G7" s="5" t="n"/>
    </row>
    <row r="8">
      <c r="A8" s="18" t="n"/>
      <c r="B8" s="18" t="n"/>
      <c r="C8" s="30" t="n"/>
      <c r="D8" s="30" t="n"/>
      <c r="E8" s="18" t="n"/>
      <c r="F8" s="18" t="n"/>
      <c r="G8" s="5" t="n"/>
    </row>
    <row r="9">
      <c r="A9" s="18" t="n"/>
      <c r="B9" s="18" t="n"/>
      <c r="C9" s="30" t="n"/>
      <c r="D9" s="30" t="n"/>
      <c r="E9" s="18" t="n"/>
      <c r="F9" s="18" t="n"/>
      <c r="G9" s="5" t="n"/>
    </row>
    <row r="10">
      <c r="A10" s="18" t="n"/>
      <c r="B10" s="18" t="n"/>
      <c r="C10" s="30" t="n"/>
      <c r="D10" s="30" t="n"/>
      <c r="E10" s="18" t="n"/>
      <c r="F10" s="18" t="n"/>
      <c r="G10" s="5" t="n"/>
    </row>
    <row r="11">
      <c r="A11" s="18" t="n"/>
      <c r="B11" s="18" t="n"/>
      <c r="C11" s="30" t="n"/>
      <c r="D11" s="30" t="n"/>
      <c r="E11" s="18" t="n"/>
      <c r="F11" s="18" t="n"/>
      <c r="G11" s="5" t="n"/>
    </row>
    <row r="12">
      <c r="A12" s="18" t="n"/>
      <c r="B12" s="18" t="n"/>
      <c r="C12" s="30" t="n"/>
      <c r="D12" s="30" t="n"/>
      <c r="E12" s="18" t="n"/>
      <c r="F12" s="18" t="n"/>
      <c r="G12" s="5" t="n"/>
    </row>
    <row r="13">
      <c r="A13" s="18" t="n"/>
      <c r="B13" s="18" t="n"/>
      <c r="C13" s="30" t="n"/>
      <c r="D13" s="30" t="n"/>
      <c r="E13" s="18" t="n"/>
      <c r="F13" s="18" t="n"/>
      <c r="G13" s="5" t="n"/>
    </row>
    <row r="14">
      <c r="A14" s="18" t="n"/>
      <c r="B14" s="18" t="n"/>
      <c r="C14" s="30" t="n"/>
      <c r="D14" s="30" t="n"/>
      <c r="E14" s="18" t="n"/>
      <c r="F14" s="18" t="n"/>
      <c r="G14" s="5" t="n"/>
    </row>
    <row r="15">
      <c r="A15" s="18" t="n"/>
      <c r="B15" s="18" t="n"/>
      <c r="C15" s="30" t="n"/>
      <c r="D15" s="30" t="n"/>
      <c r="E15" s="18" t="n"/>
      <c r="F15" s="18" t="n"/>
      <c r="G15" s="5" t="n"/>
    </row>
    <row r="16">
      <c r="A16" s="18" t="n"/>
      <c r="B16" s="18" t="n"/>
      <c r="C16" s="30" t="n"/>
      <c r="D16" s="30" t="n"/>
      <c r="E16" s="18" t="n"/>
      <c r="F16" s="18" t="n"/>
      <c r="G16" s="5" t="n"/>
    </row>
    <row r="17">
      <c r="A17" s="18" t="n"/>
      <c r="B17" s="18" t="n"/>
      <c r="C17" s="30" t="n"/>
      <c r="D17" s="30" t="n"/>
      <c r="E17" s="18" t="n"/>
      <c r="F17" s="18" t="n"/>
      <c r="G17" s="5" t="n"/>
    </row>
    <row r="18">
      <c r="A18" s="18" t="n"/>
      <c r="B18" s="18" t="n"/>
      <c r="C18" s="30" t="n"/>
      <c r="D18" s="30" t="n"/>
      <c r="E18" s="18" t="n"/>
      <c r="F18" s="18" t="n"/>
      <c r="G18" s="5" t="n"/>
    </row>
    <row r="19">
      <c r="A19" s="18" t="n"/>
      <c r="B19" s="18" t="n"/>
      <c r="C19" s="30" t="n"/>
      <c r="D19" s="30" t="n"/>
      <c r="E19" s="18" t="n"/>
      <c r="F19" s="18" t="n"/>
      <c r="G19" s="5" t="n"/>
    </row>
    <row r="20">
      <c r="A20" s="18" t="n"/>
      <c r="B20" s="18" t="n"/>
      <c r="C20" s="30" t="n"/>
      <c r="D20" s="30" t="n"/>
      <c r="E20" s="18" t="n"/>
      <c r="F20" s="18" t="n"/>
      <c r="G20" s="5" t="n"/>
    </row>
    <row r="21">
      <c r="A21" s="18" t="n"/>
      <c r="B21" s="18" t="n"/>
      <c r="C21" s="30" t="n"/>
      <c r="D21" s="30" t="n"/>
      <c r="E21" s="18" t="n"/>
      <c r="F21" s="18" t="n"/>
      <c r="G21" s="5" t="n"/>
    </row>
    <row r="22">
      <c r="A22" s="18" t="n"/>
      <c r="B22" s="18" t="n"/>
      <c r="C22" s="30" t="n"/>
      <c r="D22" s="30" t="n"/>
      <c r="E22" s="18" t="n"/>
      <c r="F22" s="18" t="n"/>
      <c r="G22" s="5" t="n"/>
    </row>
    <row r="23">
      <c r="A23" s="18" t="n"/>
      <c r="B23" s="18" t="n"/>
      <c r="C23" s="30" t="n"/>
      <c r="D23" s="30" t="n"/>
      <c r="E23" s="18" t="n"/>
      <c r="F23" s="18" t="n"/>
      <c r="G23" s="5" t="n"/>
    </row>
    <row r="24">
      <c r="A24" s="18" t="n"/>
      <c r="B24" s="18" t="n"/>
      <c r="C24" s="30" t="n"/>
      <c r="D24" s="30" t="n"/>
      <c r="E24" s="18" t="n"/>
      <c r="F24" s="18" t="n"/>
      <c r="G24" s="5" t="n"/>
    </row>
    <row r="25">
      <c r="A25" s="18" t="n"/>
      <c r="B25" s="18" t="n"/>
      <c r="C25" s="30" t="n"/>
      <c r="D25" s="30" t="n"/>
      <c r="E25" s="18" t="n"/>
      <c r="F25" s="18" t="n"/>
      <c r="G25" s="5" t="n"/>
    </row>
    <row r="26">
      <c r="A26" s="18" t="n"/>
      <c r="B26" s="18" t="n"/>
      <c r="C26" s="30" t="n"/>
      <c r="D26" s="30" t="n"/>
      <c r="E26" s="18" t="n"/>
      <c r="F26" s="18" t="n"/>
      <c r="G26" s="5" t="n"/>
    </row>
    <row r="27">
      <c r="A27" s="18" t="n"/>
      <c r="B27" s="18" t="n"/>
      <c r="C27" s="30" t="n"/>
      <c r="D27" s="30" t="n"/>
      <c r="E27" s="18" t="n"/>
      <c r="F27" s="18" t="n"/>
      <c r="G27" s="5" t="n"/>
    </row>
    <row r="28">
      <c r="A28" s="18" t="n"/>
      <c r="B28" s="18" t="n"/>
      <c r="C28" s="30" t="n"/>
      <c r="D28" s="30" t="n"/>
      <c r="E28" s="18" t="n"/>
      <c r="F28" s="18" t="n"/>
      <c r="G28" s="5" t="n"/>
    </row>
    <row r="29">
      <c r="A29" s="18" t="n"/>
      <c r="B29" s="18" t="n"/>
      <c r="C29" s="30" t="n"/>
      <c r="D29" s="30" t="n"/>
      <c r="E29" s="18" t="n"/>
      <c r="F29" s="18" t="n"/>
      <c r="G29" s="5" t="n"/>
    </row>
    <row r="30">
      <c r="A30" s="18" t="n"/>
      <c r="B30" s="18" t="n"/>
      <c r="C30" s="30" t="n"/>
      <c r="D30" s="30" t="n"/>
      <c r="E30" s="18" t="n"/>
      <c r="F30" s="18" t="n"/>
      <c r="G30" s="5" t="n"/>
    </row>
    <row r="31">
      <c r="A31" s="18" t="n"/>
      <c r="B31" s="18" t="n"/>
      <c r="C31" s="30" t="n"/>
      <c r="D31" s="30" t="n"/>
      <c r="E31" s="18" t="n"/>
      <c r="F31" s="18" t="n"/>
      <c r="G31" s="5" t="n"/>
    </row>
    <row r="32">
      <c r="A32" s="18" t="n"/>
      <c r="B32" s="18" t="n"/>
      <c r="C32" s="30" t="n"/>
      <c r="D32" s="30" t="n"/>
      <c r="E32" s="18" t="n"/>
      <c r="F32" s="18" t="n"/>
      <c r="G32" s="5" t="n"/>
    </row>
    <row r="33">
      <c r="A33" s="18" t="n"/>
      <c r="B33" s="18" t="n"/>
      <c r="C33" s="30" t="n"/>
      <c r="D33" s="30" t="n"/>
      <c r="E33" s="18" t="n"/>
      <c r="F33" s="18" t="n"/>
      <c r="G33" s="5" t="n"/>
    </row>
    <row r="34">
      <c r="A34" s="18" t="n"/>
      <c r="B34" s="18" t="n"/>
      <c r="C34" s="30" t="n"/>
      <c r="D34" s="30" t="n"/>
      <c r="E34" s="18" t="n"/>
      <c r="F34" s="18" t="n"/>
      <c r="G34" s="5" t="n"/>
    </row>
    <row r="35">
      <c r="A35" s="18" t="n"/>
      <c r="B35" s="18" t="n"/>
      <c r="C35" s="30" t="n"/>
      <c r="D35" s="30" t="n"/>
      <c r="E35" s="18" t="n"/>
      <c r="F35" s="18" t="n"/>
      <c r="G35" s="5" t="n"/>
    </row>
    <row r="36">
      <c r="A36" s="18" t="n"/>
      <c r="B36" s="18" t="n"/>
      <c r="C36" s="30" t="n"/>
      <c r="D36" s="30" t="n"/>
      <c r="E36" s="18" t="n"/>
      <c r="F36" s="18" t="n"/>
      <c r="G36" s="5" t="n"/>
    </row>
    <row r="37">
      <c r="A37" s="18" t="n"/>
      <c r="B37" s="18" t="n"/>
      <c r="C37" s="30" t="n"/>
      <c r="D37" s="30" t="n"/>
      <c r="E37" s="18" t="n"/>
      <c r="F37" s="18" t="n"/>
      <c r="G37" s="5" t="n"/>
    </row>
    <row r="38">
      <c r="A38" s="18" t="n"/>
      <c r="B38" s="18" t="n"/>
      <c r="C38" s="30" t="n"/>
      <c r="D38" s="30" t="n"/>
      <c r="E38" s="18" t="n"/>
      <c r="F38" s="18" t="n"/>
      <c r="G38" s="5" t="n"/>
    </row>
    <row r="39">
      <c r="A39" s="18" t="n"/>
      <c r="B39" s="18" t="n"/>
      <c r="C39" s="30" t="n"/>
      <c r="D39" s="30" t="n"/>
      <c r="E39" s="18" t="n"/>
      <c r="F39" s="18" t="n"/>
      <c r="G39" s="5" t="n"/>
    </row>
    <row r="40">
      <c r="A40" s="18" t="n"/>
      <c r="B40" s="18" t="n"/>
      <c r="C40" s="30" t="n"/>
      <c r="D40" s="30" t="n"/>
      <c r="E40" s="18" t="n"/>
      <c r="F40" s="18" t="n"/>
      <c r="G40" s="5" t="n"/>
    </row>
    <row r="41">
      <c r="A41" s="18" t="n"/>
      <c r="B41" s="18" t="n"/>
      <c r="C41" s="30" t="n"/>
      <c r="D41" s="30" t="n"/>
      <c r="E41" s="18" t="n"/>
      <c r="F41" s="18" t="n"/>
      <c r="G41" s="5" t="n"/>
    </row>
    <row r="42">
      <c r="A42" s="18" t="n"/>
      <c r="B42" s="18" t="n"/>
      <c r="C42" s="30" t="n"/>
      <c r="D42" s="30" t="n"/>
      <c r="E42" s="18" t="n"/>
      <c r="F42" s="18" t="n"/>
      <c r="G42" s="5" t="n"/>
    </row>
    <row r="43">
      <c r="A43" s="18" t="n"/>
      <c r="B43" s="18" t="n"/>
      <c r="C43" s="30" t="n"/>
      <c r="D43" s="30" t="n"/>
      <c r="E43" s="18" t="n"/>
      <c r="F43" s="18" t="n"/>
      <c r="G43" s="5" t="n"/>
    </row>
    <row r="44">
      <c r="A44" s="18" t="n"/>
      <c r="B44" s="18" t="n"/>
      <c r="C44" s="30" t="n"/>
      <c r="D44" s="30" t="n"/>
      <c r="E44" s="18" t="n"/>
      <c r="F44" s="18" t="n"/>
      <c r="G44" s="5" t="n"/>
    </row>
    <row r="45">
      <c r="A45" s="18" t="n"/>
      <c r="B45" s="18" t="n"/>
      <c r="C45" s="30" t="n"/>
      <c r="D45" s="30" t="n"/>
      <c r="E45" s="18" t="n"/>
      <c r="F45" s="18" t="n"/>
      <c r="G45" s="5" t="n"/>
    </row>
    <row r="46">
      <c r="A46" s="18" t="n"/>
      <c r="B46" s="18" t="n"/>
      <c r="C46" s="30" t="n"/>
      <c r="D46" s="30" t="n"/>
      <c r="E46" s="18" t="n"/>
      <c r="F46" s="18" t="n"/>
      <c r="G46" s="5" t="n"/>
    </row>
    <row r="47">
      <c r="A47" s="18" t="n"/>
      <c r="B47" s="18" t="n"/>
      <c r="C47" s="30" t="n"/>
      <c r="D47" s="30" t="n"/>
      <c r="E47" s="18" t="n"/>
      <c r="F47" s="18" t="n"/>
      <c r="G47" s="5" t="n"/>
    </row>
    <row r="48">
      <c r="A48" s="18" t="n"/>
      <c r="B48" s="18" t="n"/>
      <c r="C48" s="30" t="n"/>
      <c r="D48" s="30" t="n"/>
      <c r="E48" s="18" t="n"/>
      <c r="F48" s="18" t="n"/>
      <c r="G48" s="5" t="n"/>
    </row>
    <row r="49">
      <c r="A49" s="18" t="n"/>
      <c r="B49" s="18" t="n"/>
      <c r="C49" s="30" t="n"/>
      <c r="D49" s="30" t="n"/>
      <c r="E49" s="18" t="n"/>
      <c r="F49" s="18" t="n"/>
      <c r="G49" s="5" t="n"/>
    </row>
    <row r="50">
      <c r="A50" s="18" t="n"/>
      <c r="B50" s="18" t="n"/>
      <c r="C50" s="30" t="n"/>
      <c r="D50" s="30" t="n"/>
      <c r="E50" s="18" t="n"/>
      <c r="F50" s="18" t="n"/>
      <c r="G50" s="5" t="n"/>
    </row>
    <row r="51">
      <c r="A51" s="18" t="n"/>
      <c r="B51" s="18" t="n"/>
      <c r="C51" s="30" t="n"/>
      <c r="D51" s="30" t="n"/>
      <c r="E51" s="18" t="n"/>
      <c r="F51" s="18" t="n"/>
      <c r="G51" s="5" t="n"/>
    </row>
    <row r="52">
      <c r="A52" s="18" t="n"/>
      <c r="B52" s="18" t="n"/>
      <c r="C52" s="30" t="n"/>
      <c r="D52" s="30" t="n"/>
      <c r="E52" s="18" t="n"/>
      <c r="F52" s="18" t="n"/>
      <c r="G52" s="5" t="n"/>
    </row>
    <row r="53">
      <c r="A53" s="18" t="n"/>
      <c r="B53" s="18" t="n"/>
      <c r="C53" s="30" t="n"/>
      <c r="D53" s="30" t="n"/>
      <c r="E53" s="18" t="n"/>
      <c r="F53" s="18" t="n"/>
      <c r="G53" s="5" t="n"/>
    </row>
    <row r="54">
      <c r="A54" s="18" t="n"/>
      <c r="B54" s="18" t="n"/>
      <c r="C54" s="30" t="n"/>
      <c r="D54" s="30" t="n"/>
      <c r="E54" s="18" t="n"/>
      <c r="F54" s="18" t="n"/>
      <c r="G54" s="5" t="n"/>
    </row>
    <row r="55">
      <c r="A55" s="18" t="n"/>
      <c r="B55" s="18" t="n"/>
      <c r="C55" s="30" t="n"/>
      <c r="D55" s="30" t="n"/>
      <c r="E55" s="18" t="n"/>
      <c r="F55" s="18" t="n"/>
      <c r="G55" s="5" t="n"/>
    </row>
    <row r="56">
      <c r="A56" s="18" t="n"/>
      <c r="B56" s="18" t="n"/>
      <c r="C56" s="30" t="n"/>
      <c r="D56" s="30" t="n"/>
      <c r="E56" s="18" t="n"/>
      <c r="F56" s="18" t="n"/>
      <c r="G56" s="5" t="n"/>
    </row>
    <row r="57">
      <c r="A57" s="18" t="n"/>
      <c r="B57" s="18" t="n"/>
      <c r="C57" s="30" t="n"/>
      <c r="D57" s="30" t="n"/>
      <c r="E57" s="18" t="n"/>
      <c r="F57" s="18" t="n"/>
      <c r="G57" s="5" t="n"/>
    </row>
    <row r="58">
      <c r="A58" s="18" t="n"/>
      <c r="B58" s="18" t="n"/>
      <c r="C58" s="30" t="n"/>
      <c r="D58" s="30" t="n"/>
      <c r="E58" s="18" t="n"/>
      <c r="F58" s="18" t="n"/>
      <c r="G58" s="5" t="n"/>
    </row>
    <row r="59">
      <c r="A59" s="18" t="n"/>
      <c r="B59" s="18" t="n"/>
      <c r="C59" s="30" t="n"/>
      <c r="D59" s="30" t="n"/>
      <c r="E59" s="18" t="n"/>
      <c r="F59" s="18" t="n"/>
      <c r="G59" s="5" t="n"/>
    </row>
    <row r="60">
      <c r="A60" s="18" t="n"/>
      <c r="B60" s="18" t="n"/>
      <c r="C60" s="30" t="n"/>
      <c r="D60" s="30" t="n"/>
      <c r="E60" s="18" t="n"/>
      <c r="F60" s="18" t="n"/>
      <c r="G60" s="5" t="n"/>
    </row>
    <row r="61">
      <c r="A61" s="18" t="n"/>
      <c r="B61" s="18" t="n"/>
      <c r="C61" s="30" t="n"/>
      <c r="D61" s="30" t="n"/>
      <c r="E61" s="18" t="n"/>
      <c r="F61" s="18" t="n"/>
      <c r="G61" s="5" t="n"/>
    </row>
    <row r="62">
      <c r="A62" s="18" t="n"/>
      <c r="B62" s="18" t="n"/>
      <c r="C62" s="30" t="n"/>
      <c r="D62" s="30" t="n"/>
      <c r="E62" s="18" t="n"/>
      <c r="F62" s="18" t="n"/>
      <c r="G62" s="5" t="n"/>
    </row>
    <row r="63">
      <c r="A63" s="18" t="n"/>
      <c r="B63" s="18" t="n"/>
      <c r="C63" s="30" t="n"/>
      <c r="D63" s="30" t="n"/>
      <c r="E63" s="18" t="n"/>
      <c r="F63" s="18" t="n"/>
      <c r="G63" s="5" t="n"/>
    </row>
    <row r="64">
      <c r="A64" s="18" t="n"/>
      <c r="B64" s="18" t="n"/>
      <c r="C64" s="30" t="n"/>
      <c r="D64" s="30" t="n"/>
      <c r="E64" s="18" t="n"/>
      <c r="F64" s="18" t="n"/>
      <c r="G64" s="5" t="n"/>
    </row>
    <row r="65">
      <c r="A65" s="18" t="n"/>
      <c r="B65" s="18" t="n"/>
      <c r="C65" s="30" t="n"/>
      <c r="D65" s="30" t="n"/>
      <c r="E65" s="18" t="n"/>
      <c r="F65" s="18" t="n"/>
      <c r="G65" s="5" t="n"/>
    </row>
    <row r="66">
      <c r="A66" s="18" t="n"/>
      <c r="B66" s="18" t="n"/>
      <c r="C66" s="30" t="n"/>
      <c r="D66" s="30" t="n"/>
      <c r="E66" s="18" t="n"/>
      <c r="F66" s="18" t="n"/>
      <c r="G66" s="5" t="n"/>
    </row>
    <row r="67">
      <c r="A67" s="18" t="n"/>
      <c r="B67" s="18" t="n"/>
      <c r="C67" s="30" t="n"/>
      <c r="D67" s="30" t="n"/>
      <c r="E67" s="18" t="n"/>
      <c r="F67" s="18" t="n"/>
      <c r="G67" s="5" t="n"/>
    </row>
    <row r="68">
      <c r="A68" s="18" t="n"/>
      <c r="B68" s="18" t="n"/>
      <c r="C68" s="30" t="n"/>
      <c r="D68" s="30" t="n"/>
      <c r="E68" s="18" t="n"/>
      <c r="F68" s="18" t="n"/>
      <c r="G68" s="5" t="n"/>
    </row>
    <row r="69">
      <c r="A69" s="18" t="n"/>
      <c r="B69" s="18" t="n"/>
      <c r="C69" s="30" t="n"/>
      <c r="D69" s="30" t="n"/>
      <c r="E69" s="18" t="n"/>
      <c r="F69" s="18" t="n"/>
      <c r="G69" s="5" t="n"/>
    </row>
    <row r="70">
      <c r="A70" s="18" t="n"/>
      <c r="B70" s="18" t="n"/>
      <c r="C70" s="30" t="n"/>
      <c r="D70" s="30" t="n"/>
      <c r="E70" s="18" t="n"/>
      <c r="F70" s="18" t="n"/>
      <c r="G70" s="5" t="n"/>
    </row>
    <row r="71">
      <c r="A71" s="18" t="n"/>
      <c r="B71" s="18" t="n"/>
      <c r="C71" s="30" t="n"/>
      <c r="D71" s="30" t="n"/>
      <c r="E71" s="18" t="n"/>
      <c r="F71" s="18" t="n"/>
      <c r="G71" s="5" t="n"/>
    </row>
    <row r="72">
      <c r="A72" s="18" t="n"/>
      <c r="B72" s="18" t="n"/>
      <c r="C72" s="30" t="n"/>
      <c r="D72" s="30" t="n"/>
      <c r="E72" s="18" t="n"/>
      <c r="F72" s="18" t="n"/>
      <c r="G72" s="5" t="n"/>
    </row>
    <row r="73">
      <c r="A73" s="18" t="n"/>
      <c r="B73" s="18" t="n"/>
      <c r="C73" s="30" t="n"/>
      <c r="D73" s="30" t="n"/>
      <c r="E73" s="18" t="n"/>
      <c r="F73" s="18" t="n"/>
      <c r="G73" s="5" t="n"/>
    </row>
    <row r="74">
      <c r="A74" s="18" t="n"/>
      <c r="B74" s="18" t="n"/>
      <c r="C74" s="30" t="n"/>
      <c r="D74" s="30" t="n"/>
      <c r="E74" s="18" t="n"/>
      <c r="F74" s="18" t="n"/>
      <c r="G74" s="5" t="n"/>
    </row>
    <row r="75">
      <c r="A75" s="18" t="n"/>
      <c r="B75" s="18" t="n"/>
      <c r="C75" s="30" t="n"/>
      <c r="D75" s="30" t="n"/>
      <c r="E75" s="18" t="n"/>
      <c r="F75" s="18" t="n"/>
      <c r="G75" s="5" t="n"/>
    </row>
    <row r="76">
      <c r="A76" s="18" t="n"/>
      <c r="B76" s="18" t="n"/>
      <c r="C76" s="30" t="n"/>
      <c r="D76" s="30" t="n"/>
      <c r="E76" s="18" t="n"/>
      <c r="F76" s="18" t="n"/>
      <c r="G76" s="5" t="n"/>
    </row>
    <row r="77">
      <c r="A77" s="18" t="n"/>
      <c r="B77" s="18" t="n"/>
      <c r="C77" s="30" t="n"/>
      <c r="D77" s="30" t="n"/>
      <c r="E77" s="18" t="n"/>
      <c r="F77" s="18" t="n"/>
      <c r="G77" s="5" t="n"/>
    </row>
    <row r="78">
      <c r="A78" s="18" t="n"/>
      <c r="B78" s="18" t="n"/>
      <c r="C78" s="30" t="n"/>
      <c r="D78" s="30" t="n"/>
      <c r="E78" s="18" t="n"/>
      <c r="F78" s="18" t="n"/>
      <c r="G78" s="5" t="n"/>
    </row>
    <row r="79">
      <c r="A79" s="18" t="n"/>
      <c r="B79" s="18" t="n"/>
      <c r="C79" s="30" t="n"/>
      <c r="D79" s="30" t="n"/>
      <c r="E79" s="18" t="n"/>
      <c r="F79" s="18" t="n"/>
      <c r="G79" s="5" t="n"/>
    </row>
    <row r="80">
      <c r="A80" s="18" t="n"/>
      <c r="B80" s="18" t="n"/>
      <c r="C80" s="30" t="n"/>
      <c r="D80" s="30" t="n"/>
      <c r="E80" s="18" t="n"/>
      <c r="F80" s="18" t="n"/>
      <c r="G80" s="5" t="n"/>
    </row>
    <row r="81">
      <c r="A81" s="18" t="n"/>
      <c r="B81" s="18" t="n"/>
      <c r="C81" s="30" t="n"/>
      <c r="D81" s="30" t="n"/>
      <c r="E81" s="18" t="n"/>
      <c r="F81" s="18" t="n"/>
      <c r="G81" s="5" t="n"/>
    </row>
    <row r="82">
      <c r="A82" s="18" t="n"/>
      <c r="B82" s="18" t="n"/>
      <c r="C82" s="30" t="n"/>
      <c r="D82" s="30" t="n"/>
      <c r="E82" s="18" t="n"/>
      <c r="F82" s="18" t="n"/>
      <c r="G82" s="5" t="n"/>
    </row>
    <row r="83">
      <c r="A83" s="18" t="n"/>
      <c r="B83" s="18" t="n"/>
      <c r="C83" s="30" t="n"/>
      <c r="D83" s="30" t="n"/>
      <c r="E83" s="18" t="n"/>
      <c r="F83" s="18" t="n"/>
      <c r="G83" s="5" t="n"/>
    </row>
    <row r="84">
      <c r="A84" s="18" t="n"/>
      <c r="B84" s="18" t="n"/>
      <c r="C84" s="30" t="n"/>
      <c r="D84" s="30" t="n"/>
      <c r="E84" s="18" t="n"/>
      <c r="F84" s="18" t="n"/>
      <c r="G84" s="5" t="n"/>
    </row>
    <row r="85">
      <c r="A85" s="18" t="n"/>
      <c r="B85" s="18" t="n"/>
      <c r="C85" s="30" t="n"/>
      <c r="D85" s="30" t="n"/>
      <c r="E85" s="18" t="n"/>
      <c r="F85" s="18" t="n"/>
      <c r="G85" s="5" t="n"/>
    </row>
    <row r="86">
      <c r="A86" s="18" t="n"/>
      <c r="B86" s="18" t="n"/>
      <c r="C86" s="30" t="n"/>
      <c r="D86" s="30" t="n"/>
      <c r="E86" s="18" t="n"/>
      <c r="F86" s="18" t="n"/>
      <c r="G86" s="5" t="n"/>
    </row>
    <row r="87">
      <c r="A87" s="18" t="n"/>
      <c r="B87" s="18" t="n"/>
      <c r="C87" s="30" t="n"/>
      <c r="D87" s="30" t="n"/>
      <c r="E87" s="18" t="n"/>
      <c r="F87" s="18" t="n"/>
      <c r="G87" s="5" t="n"/>
    </row>
    <row r="88">
      <c r="A88" s="18" t="n"/>
      <c r="B88" s="18" t="n"/>
      <c r="C88" s="30" t="n"/>
      <c r="D88" s="30" t="n"/>
      <c r="E88" s="18" t="n"/>
      <c r="F88" s="18" t="n"/>
      <c r="G88" s="5" t="n"/>
    </row>
    <row r="89">
      <c r="A89" s="18" t="n"/>
      <c r="B89" s="18" t="n"/>
      <c r="C89" s="30" t="n"/>
      <c r="D89" s="30" t="n"/>
      <c r="E89" s="18" t="n"/>
      <c r="F89" s="18" t="n"/>
      <c r="G89" s="5" t="n"/>
    </row>
    <row r="90">
      <c r="A90" s="18" t="n"/>
      <c r="B90" s="18" t="n"/>
      <c r="C90" s="30" t="n"/>
      <c r="D90" s="30" t="n"/>
      <c r="E90" s="18" t="n"/>
      <c r="F90" s="18" t="n"/>
      <c r="G90" s="5" t="n"/>
    </row>
    <row r="91">
      <c r="A91" s="18" t="n"/>
      <c r="B91" s="18" t="n"/>
      <c r="C91" s="30" t="n"/>
      <c r="D91" s="30" t="n"/>
      <c r="E91" s="18" t="n"/>
      <c r="F91" s="18" t="n"/>
      <c r="G91" s="5" t="n"/>
    </row>
    <row r="92">
      <c r="A92" s="18" t="n"/>
      <c r="B92" s="18" t="n"/>
      <c r="C92" s="30" t="n"/>
      <c r="D92" s="30" t="n"/>
      <c r="E92" s="18" t="n"/>
      <c r="F92" s="18" t="n"/>
      <c r="G92" s="5" t="n"/>
    </row>
    <row r="93">
      <c r="A93" s="18" t="n"/>
      <c r="B93" s="18" t="n"/>
      <c r="C93" s="30" t="n"/>
      <c r="D93" s="30" t="n"/>
      <c r="E93" s="18" t="n"/>
      <c r="F93" s="18" t="n"/>
      <c r="G93" s="5" t="n"/>
    </row>
    <row r="94">
      <c r="A94" s="18" t="n"/>
      <c r="B94" s="18" t="n"/>
      <c r="C94" s="30" t="n"/>
      <c r="D94" s="30" t="n"/>
      <c r="E94" s="18" t="n"/>
      <c r="F94" s="18" t="n"/>
      <c r="G94" s="5" t="n"/>
    </row>
    <row r="95">
      <c r="A95" s="18" t="n"/>
      <c r="B95" s="18" t="n"/>
      <c r="C95" s="30" t="n"/>
      <c r="D95" s="30" t="n"/>
      <c r="E95" s="18" t="n"/>
      <c r="F95" s="18" t="n"/>
      <c r="G95" s="5" t="n"/>
    </row>
    <row r="96">
      <c r="A96" s="18" t="n"/>
      <c r="B96" s="18" t="n"/>
      <c r="C96" s="30" t="n"/>
      <c r="D96" s="30" t="n"/>
      <c r="E96" s="18" t="n"/>
      <c r="F96" s="18" t="n"/>
      <c r="G96" s="5" t="n"/>
    </row>
    <row r="97">
      <c r="A97" s="18" t="n"/>
      <c r="B97" s="18" t="n"/>
      <c r="C97" s="30" t="n"/>
      <c r="D97" s="30" t="n"/>
      <c r="E97" s="18" t="n"/>
      <c r="F97" s="18" t="n"/>
      <c r="G97" s="5" t="n"/>
    </row>
    <row r="98">
      <c r="A98" s="18" t="n"/>
      <c r="B98" s="18" t="n"/>
      <c r="C98" s="30" t="n"/>
      <c r="D98" s="30" t="n"/>
      <c r="E98" s="18" t="n"/>
      <c r="F98" s="18" t="n"/>
      <c r="G98" s="5" t="n"/>
    </row>
    <row r="99">
      <c r="A99" s="18" t="n"/>
      <c r="B99" s="18" t="n"/>
      <c r="C99" s="30" t="n"/>
      <c r="D99" s="30" t="n"/>
      <c r="E99" s="18" t="n"/>
      <c r="F99" s="18" t="n"/>
      <c r="G99" s="5" t="n"/>
    </row>
    <row r="100">
      <c r="A100" s="18" t="n"/>
      <c r="B100" s="18" t="n"/>
      <c r="C100" s="30" t="n"/>
      <c r="D100" s="30" t="n"/>
      <c r="E100" s="18" t="n"/>
      <c r="F100" s="18" t="n"/>
      <c r="G100" s="5" t="n"/>
    </row>
    <row r="101">
      <c r="A101" s="18" t="n"/>
      <c r="B101" s="18" t="n"/>
      <c r="C101" s="30" t="n"/>
      <c r="D101" s="30" t="n"/>
      <c r="E101" s="18" t="n"/>
      <c r="F101" s="18" t="n"/>
      <c r="G101" s="5" t="n"/>
    </row>
    <row r="102">
      <c r="A102" s="18" t="n"/>
      <c r="B102" s="18" t="n"/>
      <c r="C102" s="30" t="n"/>
      <c r="D102" s="30" t="n"/>
      <c r="E102" s="18" t="n"/>
      <c r="F102" s="18" t="n"/>
      <c r="G102" s="5" t="n"/>
    </row>
    <row r="103">
      <c r="A103" s="18" t="n"/>
      <c r="B103" s="18" t="n"/>
      <c r="C103" s="30" t="n"/>
      <c r="D103" s="30" t="n"/>
      <c r="E103" s="18" t="n"/>
      <c r="F103" s="18" t="n"/>
      <c r="G103" s="5" t="n"/>
    </row>
    <row r="104">
      <c r="A104" s="18" t="n"/>
      <c r="B104" s="18" t="n"/>
      <c r="C104" s="30" t="n"/>
      <c r="D104" s="30" t="n"/>
      <c r="E104" s="18" t="n"/>
      <c r="F104" s="18" t="n"/>
      <c r="G104" s="5" t="n"/>
    </row>
    <row r="105">
      <c r="A105" s="18" t="n"/>
      <c r="B105" s="18" t="n"/>
      <c r="C105" s="30" t="n"/>
      <c r="D105" s="30" t="n"/>
      <c r="E105" s="18" t="n"/>
      <c r="F105" s="18" t="n"/>
      <c r="G105" s="5" t="n"/>
    </row>
    <row r="106">
      <c r="A106" s="18" t="n"/>
      <c r="B106" s="18" t="n"/>
      <c r="C106" s="30" t="n"/>
      <c r="D106" s="30" t="n"/>
      <c r="E106" s="18" t="n"/>
      <c r="F106" s="18" t="n"/>
      <c r="G106" s="5" t="n"/>
    </row>
    <row r="107">
      <c r="A107" s="18" t="n"/>
      <c r="B107" s="18" t="n"/>
      <c r="C107" s="30" t="n"/>
      <c r="D107" s="30" t="n"/>
      <c r="E107" s="18" t="n"/>
      <c r="F107" s="18" t="n"/>
      <c r="G107" s="5" t="n"/>
    </row>
    <row r="108">
      <c r="A108" s="18" t="n"/>
      <c r="B108" s="18" t="n"/>
      <c r="C108" s="30" t="n"/>
      <c r="D108" s="30" t="n"/>
      <c r="E108" s="18" t="n"/>
      <c r="F108" s="18" t="n"/>
      <c r="G108" s="5" t="n"/>
    </row>
    <row r="109">
      <c r="A109" s="18" t="n"/>
      <c r="B109" s="18" t="n"/>
      <c r="C109" s="30" t="n"/>
      <c r="D109" s="30" t="n"/>
      <c r="E109" s="18" t="n"/>
      <c r="F109" s="18" t="n"/>
      <c r="G109" s="5" t="n"/>
    </row>
    <row r="110">
      <c r="A110" s="18" t="n"/>
      <c r="B110" s="18" t="n"/>
      <c r="C110" s="30" t="n"/>
      <c r="D110" s="30" t="n"/>
      <c r="E110" s="18" t="n"/>
      <c r="F110" s="18" t="n"/>
      <c r="G110" s="5" t="n"/>
    </row>
    <row r="111">
      <c r="A111" s="18" t="n"/>
      <c r="B111" s="18" t="n"/>
      <c r="C111" s="30" t="n"/>
      <c r="D111" s="30" t="n"/>
      <c r="E111" s="18" t="n"/>
      <c r="F111" s="18" t="n"/>
      <c r="G111" s="5" t="n"/>
    </row>
    <row r="112">
      <c r="A112" s="18" t="n"/>
      <c r="B112" s="18" t="n"/>
      <c r="C112" s="30" t="n"/>
      <c r="D112" s="30" t="n"/>
      <c r="E112" s="18" t="n"/>
      <c r="F112" s="18" t="n"/>
      <c r="G112" s="5" t="n"/>
    </row>
    <row r="113">
      <c r="A113" s="18" t="n"/>
      <c r="B113" s="18" t="n"/>
      <c r="C113" s="30" t="n"/>
      <c r="D113" s="30" t="n"/>
      <c r="E113" s="18" t="n"/>
      <c r="F113" s="18" t="n"/>
      <c r="G113" s="5" t="n"/>
    </row>
    <row r="114">
      <c r="A114" s="18" t="n"/>
      <c r="B114" s="18" t="n"/>
      <c r="C114" s="30" t="n"/>
      <c r="D114" s="30" t="n"/>
      <c r="E114" s="18" t="n"/>
      <c r="F114" s="18" t="n"/>
      <c r="G114" s="5" t="n"/>
    </row>
    <row r="115">
      <c r="A115" s="18" t="n"/>
      <c r="B115" s="18" t="n"/>
      <c r="C115" s="30" t="n"/>
      <c r="D115" s="30" t="n"/>
      <c r="E115" s="18" t="n"/>
      <c r="F115" s="18" t="n"/>
      <c r="G115" s="5" t="n"/>
    </row>
    <row r="116">
      <c r="A116" s="18" t="n"/>
      <c r="B116" s="18" t="n"/>
      <c r="C116" s="30" t="n"/>
      <c r="D116" s="30" t="n"/>
      <c r="E116" s="18" t="n"/>
      <c r="F116" s="18" t="n"/>
      <c r="G116" s="5" t="n"/>
    </row>
    <row r="117">
      <c r="A117" s="18" t="n"/>
      <c r="B117" s="18" t="n"/>
      <c r="C117" s="30" t="n"/>
      <c r="D117" s="30" t="n"/>
      <c r="E117" s="18" t="n"/>
      <c r="F117" s="18" t="n"/>
      <c r="G117" s="5" t="n"/>
    </row>
    <row r="118">
      <c r="A118" s="18" t="n"/>
      <c r="B118" s="18" t="n"/>
      <c r="C118" s="30" t="n"/>
      <c r="D118" s="30" t="n"/>
      <c r="E118" s="18" t="n"/>
      <c r="F118" s="18" t="n"/>
      <c r="G118" s="5" t="n"/>
    </row>
    <row r="119">
      <c r="A119" s="18" t="n"/>
      <c r="B119" s="18" t="n"/>
      <c r="C119" s="30" t="n"/>
      <c r="D119" s="30" t="n"/>
      <c r="E119" s="18" t="n"/>
      <c r="F119" s="18" t="n"/>
      <c r="G119" s="5" t="n"/>
    </row>
    <row r="120">
      <c r="A120" s="18" t="n"/>
      <c r="B120" s="18" t="n"/>
      <c r="C120" s="30" t="n"/>
      <c r="D120" s="30" t="n"/>
      <c r="E120" s="18" t="n"/>
      <c r="F120" s="18" t="n"/>
      <c r="G120" s="5" t="n"/>
    </row>
    <row r="121">
      <c r="A121" s="18" t="n"/>
      <c r="B121" s="18" t="n"/>
      <c r="C121" s="30" t="n"/>
      <c r="D121" s="30" t="n"/>
      <c r="E121" s="18" t="n"/>
      <c r="F121" s="18" t="n"/>
      <c r="G121" s="5" t="n"/>
    </row>
    <row r="122">
      <c r="A122" s="18" t="n"/>
      <c r="B122" s="18" t="n"/>
      <c r="C122" s="30" t="n"/>
      <c r="D122" s="30" t="n"/>
      <c r="E122" s="18" t="n"/>
      <c r="F122" s="18" t="n"/>
      <c r="G122" s="5" t="n"/>
    </row>
    <row r="123">
      <c r="A123" s="18" t="n"/>
      <c r="B123" s="18" t="n"/>
      <c r="C123" s="30" t="n"/>
      <c r="D123" s="30" t="n"/>
      <c r="E123" s="18" t="n"/>
      <c r="F123" s="18" t="n"/>
      <c r="G123" s="5" t="n"/>
    </row>
    <row r="124">
      <c r="A124" s="18" t="n"/>
      <c r="B124" s="18" t="n"/>
      <c r="C124" s="30" t="n"/>
      <c r="D124" s="30" t="n"/>
      <c r="E124" s="18" t="n"/>
      <c r="F124" s="18" t="n"/>
      <c r="G124" s="5" t="n"/>
    </row>
    <row r="125">
      <c r="A125" s="18" t="n"/>
      <c r="B125" s="18" t="n"/>
      <c r="C125" s="30" t="n"/>
      <c r="D125" s="30" t="n"/>
      <c r="E125" s="18" t="n"/>
      <c r="F125" s="18" t="n"/>
      <c r="G125" s="5" t="n"/>
    </row>
    <row r="126">
      <c r="A126" s="18" t="n"/>
      <c r="B126" s="18" t="n"/>
      <c r="C126" s="30" t="n"/>
      <c r="D126" s="30" t="n"/>
      <c r="E126" s="18" t="n"/>
      <c r="F126" s="18" t="n"/>
      <c r="G126" s="5" t="n"/>
    </row>
    <row r="127">
      <c r="A127" s="18" t="n"/>
      <c r="B127" s="18" t="n"/>
      <c r="C127" s="30" t="n"/>
      <c r="D127" s="30" t="n"/>
      <c r="E127" s="18" t="n"/>
      <c r="F127" s="18" t="n"/>
      <c r="G127" s="5" t="n"/>
    </row>
    <row r="128">
      <c r="A128" s="18" t="n"/>
      <c r="B128" s="18" t="n"/>
      <c r="C128" s="30" t="n"/>
      <c r="D128" s="30" t="n"/>
      <c r="E128" s="18" t="n"/>
      <c r="F128" s="18" t="n"/>
      <c r="G128" s="5" t="n"/>
    </row>
    <row r="129">
      <c r="A129" s="18" t="n"/>
      <c r="B129" s="18" t="n"/>
      <c r="C129" s="30" t="n"/>
      <c r="D129" s="30" t="n"/>
      <c r="E129" s="18" t="n"/>
      <c r="F129" s="18" t="n"/>
      <c r="G129" s="5" t="n"/>
    </row>
    <row r="130">
      <c r="A130" s="18" t="n"/>
      <c r="B130" s="18" t="n"/>
      <c r="C130" s="30" t="n"/>
      <c r="D130" s="30" t="n"/>
      <c r="E130" s="18" t="n"/>
      <c r="F130" s="18" t="n"/>
      <c r="G130" s="5" t="n"/>
    </row>
    <row r="131">
      <c r="A131" s="18" t="n"/>
      <c r="B131" s="18" t="n"/>
      <c r="C131" s="30" t="n"/>
      <c r="D131" s="30" t="n"/>
      <c r="E131" s="18" t="n"/>
      <c r="F131" s="18" t="n"/>
      <c r="G131" s="5" t="n"/>
    </row>
    <row r="132">
      <c r="A132" s="18" t="n"/>
      <c r="B132" s="18" t="n"/>
      <c r="C132" s="30" t="n"/>
      <c r="D132" s="30" t="n"/>
      <c r="E132" s="18" t="n"/>
      <c r="F132" s="18" t="n"/>
      <c r="G132" s="5" t="n"/>
    </row>
    <row r="133">
      <c r="A133" s="18" t="n"/>
      <c r="B133" s="18" t="n"/>
      <c r="C133" s="30" t="n"/>
      <c r="D133" s="30" t="n"/>
      <c r="E133" s="18" t="n"/>
      <c r="F133" s="18" t="n"/>
      <c r="G133" s="5" t="n"/>
    </row>
    <row r="134">
      <c r="A134" s="18" t="n"/>
      <c r="B134" s="18" t="n"/>
      <c r="C134" s="30" t="n"/>
      <c r="D134" s="30" t="n"/>
      <c r="E134" s="18" t="n"/>
      <c r="F134" s="18" t="n"/>
      <c r="G134" s="5" t="n"/>
    </row>
    <row r="135">
      <c r="A135" s="18" t="n"/>
      <c r="B135" s="18" t="n"/>
      <c r="C135" s="30" t="n"/>
      <c r="D135" s="30" t="n"/>
      <c r="E135" s="18" t="n"/>
      <c r="F135" s="18" t="n"/>
      <c r="G135" s="5" t="n"/>
    </row>
    <row r="136">
      <c r="A136" s="18" t="n"/>
      <c r="B136" s="18" t="n"/>
      <c r="C136" s="30" t="n"/>
      <c r="D136" s="30" t="n"/>
      <c r="E136" s="18" t="n"/>
      <c r="F136" s="18" t="n"/>
      <c r="G136" s="5" t="n"/>
    </row>
    <row r="137">
      <c r="A137" s="18" t="n"/>
      <c r="B137" s="18" t="n"/>
      <c r="C137" s="30" t="n"/>
      <c r="D137" s="30" t="n"/>
      <c r="E137" s="18" t="n"/>
      <c r="F137" s="18" t="n"/>
      <c r="G137" s="5" t="n"/>
    </row>
    <row r="138">
      <c r="A138" s="18" t="n"/>
      <c r="B138" s="18" t="n"/>
      <c r="C138" s="30" t="n"/>
      <c r="D138" s="30" t="n"/>
      <c r="E138" s="18" t="n"/>
      <c r="F138" s="18" t="n"/>
      <c r="G138" s="5" t="n"/>
    </row>
    <row r="139">
      <c r="A139" s="18" t="n"/>
      <c r="B139" s="18" t="n"/>
      <c r="C139" s="30" t="n"/>
      <c r="D139" s="30" t="n"/>
      <c r="E139" s="18" t="n"/>
      <c r="F139" s="18" t="n"/>
      <c r="G139" s="5" t="n"/>
    </row>
    <row r="140">
      <c r="A140" s="18" t="n"/>
      <c r="B140" s="18" t="n"/>
      <c r="C140" s="30" t="n"/>
      <c r="D140" s="30" t="n"/>
      <c r="E140" s="18" t="n"/>
      <c r="F140" s="18" t="n"/>
      <c r="G140" s="5" t="n"/>
    </row>
    <row r="141">
      <c r="A141" s="18" t="n"/>
      <c r="B141" s="18" t="n"/>
      <c r="C141" s="30" t="n"/>
      <c r="D141" s="30" t="n"/>
      <c r="E141" s="18" t="n"/>
      <c r="F141" s="18" t="n"/>
      <c r="G141" s="5" t="n"/>
    </row>
    <row r="142">
      <c r="A142" s="18" t="n"/>
      <c r="B142" s="18" t="n"/>
      <c r="C142" s="30" t="n"/>
      <c r="D142" s="30" t="n"/>
      <c r="E142" s="18" t="n"/>
      <c r="F142" s="18" t="n"/>
      <c r="G142" s="5" t="n"/>
    </row>
    <row r="143">
      <c r="A143" s="18" t="n"/>
      <c r="B143" s="18" t="n"/>
      <c r="C143" s="30" t="n"/>
      <c r="D143" s="30" t="n"/>
      <c r="E143" s="18" t="n"/>
      <c r="F143" s="18" t="n"/>
      <c r="G143" s="5" t="n"/>
    </row>
    <row r="144">
      <c r="A144" s="18" t="n"/>
      <c r="B144" s="18" t="n"/>
      <c r="C144" s="30" t="n"/>
      <c r="D144" s="30" t="n"/>
      <c r="E144" s="18" t="n"/>
      <c r="F144" s="18" t="n"/>
      <c r="G144" s="5" t="n"/>
    </row>
    <row r="145">
      <c r="A145" s="18" t="n"/>
      <c r="B145" s="18" t="n"/>
      <c r="C145" s="30" t="n"/>
      <c r="D145" s="30" t="n"/>
      <c r="E145" s="18" t="n"/>
      <c r="F145" s="18" t="n"/>
      <c r="G145" s="5" t="n"/>
    </row>
    <row r="146">
      <c r="A146" s="18" t="n"/>
      <c r="B146" s="18" t="n"/>
      <c r="C146" s="30" t="n"/>
      <c r="D146" s="30" t="n"/>
      <c r="E146" s="18" t="n"/>
      <c r="F146" s="18" t="n"/>
      <c r="G146" s="5" t="n"/>
    </row>
    <row r="147">
      <c r="A147" s="18" t="n"/>
      <c r="B147" s="18" t="n"/>
      <c r="C147" s="30" t="n"/>
      <c r="D147" s="30" t="n"/>
      <c r="E147" s="18" t="n"/>
      <c r="F147" s="18" t="n"/>
      <c r="G147" s="5" t="n"/>
    </row>
    <row r="148">
      <c r="A148" s="18" t="n"/>
      <c r="B148" s="18" t="n"/>
      <c r="C148" s="30" t="n"/>
      <c r="D148" s="30" t="n"/>
      <c r="E148" s="18" t="n"/>
      <c r="F148" s="18" t="n"/>
      <c r="G148" s="5" t="n"/>
    </row>
    <row r="149">
      <c r="A149" s="18" t="n"/>
      <c r="B149" s="18" t="n"/>
      <c r="C149" s="30" t="n"/>
      <c r="D149" s="30" t="n"/>
      <c r="E149" s="18" t="n"/>
      <c r="F149" s="18" t="n"/>
      <c r="G149" s="5" t="n"/>
    </row>
    <row r="150">
      <c r="A150" s="18" t="n"/>
      <c r="B150" s="18" t="n"/>
      <c r="C150" s="30" t="n"/>
      <c r="D150" s="30" t="n"/>
      <c r="E150" s="18" t="n"/>
      <c r="F150" s="18" t="n"/>
      <c r="G150" s="5" t="n"/>
    </row>
    <row r="151">
      <c r="A151" s="18" t="n"/>
      <c r="B151" s="18" t="n"/>
      <c r="C151" s="30" t="n"/>
      <c r="D151" s="30" t="n"/>
      <c r="E151" s="18" t="n"/>
      <c r="F151" s="18" t="n"/>
      <c r="G151" s="5" t="n"/>
    </row>
    <row r="152">
      <c r="A152" s="18" t="n"/>
      <c r="B152" s="18" t="n"/>
      <c r="C152" s="30" t="n"/>
      <c r="D152" s="30" t="n"/>
      <c r="E152" s="18" t="n"/>
      <c r="F152" s="18" t="n"/>
      <c r="G152" s="5" t="n"/>
    </row>
    <row r="153">
      <c r="A153" s="18" t="n"/>
      <c r="B153" s="18" t="n"/>
      <c r="C153" s="30" t="n"/>
      <c r="D153" s="30" t="n"/>
      <c r="E153" s="18" t="n"/>
      <c r="F153" s="18" t="n"/>
      <c r="G153" s="5" t="n"/>
    </row>
    <row r="154">
      <c r="A154" s="18" t="n"/>
      <c r="B154" s="18" t="n"/>
      <c r="C154" s="30" t="n"/>
      <c r="D154" s="30" t="n"/>
      <c r="E154" s="18" t="n"/>
      <c r="F154" s="18" t="n"/>
      <c r="G154" s="5" t="n"/>
    </row>
    <row r="155">
      <c r="A155" s="18" t="n"/>
      <c r="B155" s="18" t="n"/>
      <c r="C155" s="30" t="n"/>
      <c r="D155" s="30" t="n"/>
      <c r="E155" s="18" t="n"/>
      <c r="F155" s="18" t="n"/>
      <c r="G155" s="5" t="n"/>
    </row>
    <row r="156">
      <c r="A156" s="18" t="n"/>
      <c r="B156" s="18" t="n"/>
      <c r="C156" s="30" t="n"/>
      <c r="D156" s="30" t="n"/>
      <c r="E156" s="18" t="n"/>
      <c r="F156" s="18" t="n"/>
      <c r="G156" s="5" t="n"/>
    </row>
    <row r="157">
      <c r="A157" s="18" t="n"/>
      <c r="B157" s="18" t="n"/>
      <c r="C157" s="30" t="n"/>
      <c r="D157" s="30" t="n"/>
      <c r="E157" s="18" t="n"/>
      <c r="F157" s="18" t="n"/>
      <c r="G157" s="5" t="n"/>
    </row>
    <row r="158">
      <c r="A158" s="18" t="n"/>
      <c r="B158" s="18" t="n"/>
      <c r="C158" s="30" t="n"/>
      <c r="D158" s="30" t="n"/>
      <c r="E158" s="18" t="n"/>
      <c r="F158" s="18" t="n"/>
      <c r="G158" s="5" t="n"/>
    </row>
    <row r="159">
      <c r="A159" s="18" t="n"/>
      <c r="B159" s="18" t="n"/>
      <c r="C159" s="30" t="n"/>
      <c r="D159" s="30" t="n"/>
      <c r="E159" s="18" t="n"/>
      <c r="F159" s="18" t="n"/>
      <c r="G159" s="5" t="n"/>
    </row>
    <row r="160">
      <c r="A160" s="18" t="n"/>
      <c r="B160" s="18" t="n"/>
      <c r="C160" s="30" t="n"/>
      <c r="D160" s="30" t="n"/>
      <c r="E160" s="18" t="n"/>
      <c r="F160" s="18" t="n"/>
      <c r="G160" s="5" t="n"/>
    </row>
    <row r="161">
      <c r="A161" s="18" t="n"/>
      <c r="B161" s="18" t="n"/>
      <c r="C161" s="30" t="n"/>
      <c r="D161" s="30" t="n"/>
      <c r="E161" s="18" t="n"/>
      <c r="F161" s="18" t="n"/>
      <c r="G161" s="5" t="n"/>
    </row>
    <row r="162">
      <c r="A162" s="18" t="n"/>
      <c r="B162" s="18" t="n"/>
      <c r="C162" s="30" t="n"/>
      <c r="D162" s="30" t="n"/>
      <c r="E162" s="18" t="n"/>
      <c r="F162" s="18" t="n"/>
      <c r="G162" s="5" t="n"/>
    </row>
    <row r="163">
      <c r="A163" s="18" t="n"/>
      <c r="B163" s="18" t="n"/>
      <c r="C163" s="30" t="n"/>
      <c r="D163" s="30" t="n"/>
      <c r="E163" s="18" t="n"/>
      <c r="F163" s="18" t="n"/>
      <c r="G163" s="5" t="n"/>
    </row>
    <row r="164">
      <c r="A164" s="18" t="n"/>
      <c r="B164" s="18" t="n"/>
      <c r="C164" s="30" t="n"/>
      <c r="D164" s="30" t="n"/>
      <c r="E164" s="18" t="n"/>
      <c r="F164" s="18" t="n"/>
      <c r="G164" s="5" t="n"/>
    </row>
    <row r="165">
      <c r="A165" s="18" t="n"/>
      <c r="B165" s="18" t="n"/>
      <c r="C165" s="30" t="n"/>
      <c r="D165" s="30" t="n"/>
      <c r="E165" s="18" t="n"/>
      <c r="F165" s="18" t="n"/>
      <c r="G165" s="5" t="n"/>
    </row>
    <row r="166">
      <c r="A166" s="18" t="n"/>
      <c r="B166" s="18" t="n"/>
      <c r="C166" s="30" t="n"/>
      <c r="D166" s="30" t="n"/>
      <c r="E166" s="18" t="n"/>
      <c r="F166" s="18" t="n"/>
      <c r="G166" s="5" t="n"/>
    </row>
    <row r="167">
      <c r="A167" s="18" t="n"/>
      <c r="B167" s="18" t="n"/>
      <c r="C167" s="30" t="n"/>
      <c r="D167" s="30" t="n"/>
      <c r="E167" s="18" t="n"/>
      <c r="F167" s="18" t="n"/>
      <c r="G167" s="5" t="n"/>
    </row>
    <row r="168">
      <c r="A168" s="18" t="n"/>
      <c r="B168" s="18" t="n"/>
      <c r="C168" s="30" t="n"/>
      <c r="D168" s="30" t="n"/>
      <c r="E168" s="18" t="n"/>
      <c r="F168" s="18" t="n"/>
      <c r="G168" s="5" t="n"/>
    </row>
    <row r="169">
      <c r="A169" s="18" t="n"/>
      <c r="B169" s="18" t="n"/>
      <c r="C169" s="30" t="n"/>
      <c r="D169" s="30" t="n"/>
      <c r="E169" s="18" t="n"/>
      <c r="F169" s="18" t="n"/>
      <c r="G169" s="5" t="n"/>
    </row>
    <row r="170">
      <c r="A170" s="18" t="n"/>
      <c r="B170" s="18" t="n"/>
      <c r="C170" s="30" t="n"/>
      <c r="D170" s="30" t="n"/>
      <c r="E170" s="18" t="n"/>
      <c r="F170" s="18" t="n"/>
      <c r="G170" s="5" t="n"/>
    </row>
    <row r="171">
      <c r="A171" s="18" t="n"/>
      <c r="B171" s="18" t="n"/>
      <c r="C171" s="30" t="n"/>
      <c r="D171" s="30" t="n"/>
      <c r="E171" s="18" t="n"/>
      <c r="F171" s="18" t="n"/>
      <c r="G171" s="5" t="n"/>
    </row>
    <row r="172">
      <c r="A172" s="18" t="n"/>
      <c r="B172" s="18" t="n"/>
      <c r="C172" s="30" t="n"/>
      <c r="D172" s="30" t="n"/>
      <c r="E172" s="18" t="n"/>
      <c r="F172" s="18" t="n"/>
      <c r="G172" s="5" t="n"/>
    </row>
    <row r="173">
      <c r="A173" s="18" t="n"/>
      <c r="B173" s="18" t="n"/>
      <c r="C173" s="30" t="n"/>
      <c r="D173" s="30" t="n"/>
      <c r="E173" s="18" t="n"/>
      <c r="F173" s="18" t="n"/>
      <c r="G173" s="5" t="n"/>
    </row>
    <row r="174">
      <c r="A174" s="18" t="n"/>
      <c r="B174" s="18" t="n"/>
      <c r="C174" s="30" t="n"/>
      <c r="D174" s="30" t="n"/>
      <c r="E174" s="18" t="n"/>
      <c r="F174" s="18" t="n"/>
      <c r="G174" s="5" t="n"/>
    </row>
    <row r="175">
      <c r="A175" s="18" t="n"/>
      <c r="B175" s="18" t="n"/>
      <c r="C175" s="30" t="n"/>
      <c r="D175" s="30" t="n"/>
      <c r="E175" s="18" t="n"/>
      <c r="F175" s="18" t="n"/>
      <c r="G175" s="5" t="n"/>
    </row>
    <row r="176">
      <c r="A176" s="18" t="n"/>
      <c r="B176" s="18" t="n"/>
      <c r="C176" s="30" t="n"/>
      <c r="D176" s="30" t="n"/>
      <c r="E176" s="18" t="n"/>
      <c r="F176" s="18" t="n"/>
      <c r="G176" s="5" t="n"/>
    </row>
    <row r="177">
      <c r="A177" s="18" t="n"/>
      <c r="B177" s="18" t="n"/>
      <c r="C177" s="30" t="n"/>
      <c r="D177" s="30" t="n"/>
      <c r="E177" s="18" t="n"/>
      <c r="F177" s="18" t="n"/>
      <c r="G177" s="5" t="n"/>
    </row>
    <row r="178">
      <c r="A178" s="18" t="n"/>
      <c r="B178" s="18" t="n"/>
      <c r="C178" s="30" t="n"/>
      <c r="D178" s="30" t="n"/>
      <c r="E178" s="18" t="n"/>
      <c r="F178" s="18" t="n"/>
      <c r="G178" s="5" t="n"/>
    </row>
    <row r="179">
      <c r="A179" s="18" t="n"/>
      <c r="B179" s="18" t="n"/>
      <c r="C179" s="30" t="n"/>
      <c r="D179" s="30" t="n"/>
      <c r="E179" s="18" t="n"/>
      <c r="F179" s="18" t="n"/>
      <c r="G179" s="5" t="n"/>
    </row>
    <row r="180">
      <c r="A180" s="18" t="n"/>
      <c r="B180" s="18" t="n"/>
      <c r="C180" s="30" t="n"/>
      <c r="D180" s="30" t="n"/>
      <c r="E180" s="18" t="n"/>
      <c r="F180" s="18" t="n"/>
      <c r="G180" s="5" t="n"/>
    </row>
    <row r="181">
      <c r="A181" s="18" t="n"/>
      <c r="B181" s="18" t="n"/>
      <c r="C181" s="30" t="n"/>
      <c r="D181" s="30" t="n"/>
      <c r="E181" s="18" t="n"/>
      <c r="F181" s="18" t="n"/>
      <c r="G181" s="5" t="n"/>
    </row>
    <row r="182">
      <c r="A182" s="18" t="n"/>
      <c r="B182" s="18" t="n"/>
      <c r="C182" s="30" t="n"/>
      <c r="D182" s="30" t="n"/>
      <c r="E182" s="18" t="n"/>
      <c r="F182" s="18" t="n"/>
      <c r="G182" s="5" t="n"/>
    </row>
    <row r="183">
      <c r="A183" s="18" t="n"/>
      <c r="B183" s="18" t="n"/>
      <c r="C183" s="30" t="n"/>
      <c r="D183" s="30" t="n"/>
      <c r="E183" s="18" t="n"/>
      <c r="F183" s="18" t="n"/>
      <c r="G183" s="5" t="n"/>
    </row>
    <row r="184">
      <c r="A184" s="18" t="n"/>
      <c r="B184" s="18" t="n"/>
      <c r="C184" s="30" t="n"/>
      <c r="D184" s="30" t="n"/>
      <c r="E184" s="18" t="n"/>
      <c r="F184" s="18" t="n"/>
      <c r="G184" s="5" t="n"/>
    </row>
    <row r="185">
      <c r="A185" s="18" t="n"/>
      <c r="B185" s="18" t="n"/>
      <c r="C185" s="30" t="n"/>
      <c r="D185" s="30" t="n"/>
      <c r="E185" s="18" t="n"/>
      <c r="F185" s="18" t="n"/>
      <c r="G185" s="5" t="n"/>
    </row>
    <row r="186">
      <c r="A186" s="18" t="n"/>
      <c r="B186" s="18" t="n"/>
      <c r="C186" s="30" t="n"/>
      <c r="D186" s="30" t="n"/>
      <c r="E186" s="18" t="n"/>
      <c r="F186" s="18" t="n"/>
      <c r="G186" s="5" t="n"/>
    </row>
    <row r="187">
      <c r="A187" s="18" t="n"/>
      <c r="B187" s="18" t="n"/>
      <c r="C187" s="30" t="n"/>
      <c r="D187" s="30" t="n"/>
      <c r="E187" s="18" t="n"/>
      <c r="F187" s="18" t="n"/>
      <c r="G187" s="5" t="n"/>
    </row>
    <row r="188">
      <c r="A188" s="18" t="n"/>
      <c r="B188" s="18" t="n"/>
      <c r="C188" s="30" t="n"/>
      <c r="D188" s="30" t="n"/>
      <c r="E188" s="18" t="n"/>
      <c r="F188" s="18" t="n"/>
      <c r="G188" s="5" t="n"/>
    </row>
    <row r="189">
      <c r="A189" s="18" t="n"/>
      <c r="B189" s="18" t="n"/>
      <c r="C189" s="30" t="n"/>
      <c r="D189" s="30" t="n"/>
      <c r="E189" s="18" t="n"/>
      <c r="F189" s="18" t="n"/>
      <c r="G189" s="5" t="n"/>
    </row>
    <row r="190">
      <c r="A190" s="18" t="n"/>
      <c r="B190" s="18" t="n"/>
      <c r="C190" s="30" t="n"/>
      <c r="D190" s="30" t="n"/>
      <c r="E190" s="18" t="n"/>
      <c r="F190" s="18" t="n"/>
      <c r="G190" s="5" t="n"/>
    </row>
    <row r="191">
      <c r="A191" s="18" t="n"/>
      <c r="B191" s="18" t="n"/>
      <c r="C191" s="30" t="n"/>
      <c r="D191" s="30" t="n"/>
      <c r="E191" s="18" t="n"/>
      <c r="F191" s="18" t="n"/>
      <c r="G191" s="5" t="n"/>
    </row>
    <row r="192">
      <c r="A192" s="18" t="n"/>
      <c r="B192" s="18" t="n"/>
      <c r="C192" s="30" t="n"/>
      <c r="D192" s="30" t="n"/>
      <c r="E192" s="18" t="n"/>
      <c r="F192" s="18" t="n"/>
      <c r="G192" s="5" t="n"/>
    </row>
    <row r="193">
      <c r="A193" s="18" t="n"/>
      <c r="B193" s="18" t="n"/>
      <c r="C193" s="30" t="n"/>
      <c r="D193" s="30" t="n"/>
      <c r="E193" s="18" t="n"/>
      <c r="F193" s="18" t="n"/>
      <c r="G193" s="5" t="n"/>
    </row>
    <row r="194">
      <c r="A194" s="18" t="n"/>
      <c r="B194" s="18" t="n"/>
      <c r="C194" s="30" t="n"/>
      <c r="D194" s="30" t="n"/>
      <c r="E194" s="18" t="n"/>
      <c r="F194" s="18" t="n"/>
      <c r="G194" s="5" t="n"/>
    </row>
    <row r="195">
      <c r="A195" s="18" t="n"/>
      <c r="B195" s="18" t="n"/>
      <c r="C195" s="30" t="n"/>
      <c r="D195" s="30" t="n"/>
      <c r="E195" s="18" t="n"/>
      <c r="F195" s="18" t="n"/>
      <c r="G195" s="5" t="n"/>
    </row>
    <row r="196">
      <c r="A196" s="18" t="n"/>
      <c r="B196" s="18" t="n"/>
      <c r="C196" s="30" t="n"/>
      <c r="D196" s="30" t="n"/>
      <c r="E196" s="18" t="n"/>
      <c r="F196" s="18" t="n"/>
      <c r="G196" s="5" t="n"/>
    </row>
    <row r="197">
      <c r="A197" s="18" t="n"/>
      <c r="B197" s="18" t="n"/>
      <c r="C197" s="30" t="n"/>
      <c r="D197" s="30" t="n"/>
      <c r="E197" s="18" t="n"/>
      <c r="F197" s="18" t="n"/>
      <c r="G197" s="5" t="n"/>
    </row>
    <row r="198">
      <c r="A198" s="18" t="n"/>
      <c r="B198" s="18" t="n"/>
      <c r="C198" s="30" t="n"/>
      <c r="D198" s="30" t="n"/>
      <c r="E198" s="18" t="n"/>
      <c r="F198" s="18" t="n"/>
      <c r="G198" s="5" t="n"/>
    </row>
    <row r="199">
      <c r="A199" s="18" t="n"/>
      <c r="B199" s="18" t="n"/>
      <c r="C199" s="30" t="n"/>
      <c r="D199" s="30" t="n"/>
      <c r="E199" s="18" t="n"/>
      <c r="F199" s="18" t="n"/>
      <c r="G199" s="5" t="n"/>
    </row>
    <row r="200">
      <c r="A200" s="18" t="n"/>
      <c r="B200" s="18" t="n"/>
      <c r="C200" s="30" t="n"/>
      <c r="D200" s="30" t="n"/>
      <c r="E200" s="18" t="n"/>
      <c r="F200" s="18" t="n"/>
      <c r="G200" s="5" t="n"/>
    </row>
    <row r="201">
      <c r="A201" s="18" t="n"/>
      <c r="B201" s="18" t="n"/>
      <c r="C201" s="30" t="n"/>
      <c r="D201" s="30" t="n"/>
      <c r="E201" s="18" t="n"/>
      <c r="F201" s="18" t="n"/>
      <c r="G201" s="5" t="n"/>
    </row>
    <row r="202">
      <c r="A202" s="18" t="n"/>
      <c r="B202" s="18" t="n"/>
      <c r="C202" s="30" t="n"/>
      <c r="D202" s="30" t="n"/>
      <c r="E202" s="18" t="n"/>
      <c r="F202" s="18" t="n"/>
      <c r="G202" s="5" t="n"/>
    </row>
    <row r="203">
      <c r="A203" s="18" t="n"/>
      <c r="B203" s="18" t="n"/>
      <c r="C203" s="30" t="n"/>
      <c r="D203" s="30" t="n"/>
      <c r="E203" s="18" t="n"/>
      <c r="F203" s="18" t="n"/>
      <c r="G203" s="5" t="n"/>
    </row>
    <row r="204">
      <c r="A204" s="18" t="n"/>
      <c r="B204" s="18" t="n"/>
      <c r="C204" s="30" t="n"/>
      <c r="D204" s="30" t="n"/>
      <c r="E204" s="18" t="n"/>
      <c r="F204" s="18" t="n"/>
      <c r="G204" s="5" t="n"/>
    </row>
    <row r="205">
      <c r="A205" s="18" t="n"/>
      <c r="B205" s="18" t="n"/>
      <c r="C205" s="30" t="n"/>
      <c r="D205" s="30" t="n"/>
      <c r="E205" s="18" t="n"/>
      <c r="F205" s="18" t="n"/>
      <c r="G205" s="5" t="n"/>
    </row>
    <row r="206">
      <c r="A206" s="18" t="n"/>
      <c r="B206" s="18" t="n"/>
      <c r="C206" s="30" t="n"/>
      <c r="D206" s="30" t="n"/>
      <c r="E206" s="18" t="n"/>
      <c r="F206" s="18" t="n"/>
      <c r="G206" s="5" t="n"/>
    </row>
    <row r="207">
      <c r="A207" s="18" t="n"/>
      <c r="B207" s="18" t="n"/>
      <c r="C207" s="30" t="n"/>
      <c r="D207" s="30" t="n"/>
      <c r="E207" s="18" t="n"/>
      <c r="F207" s="18" t="n"/>
      <c r="G207" s="5" t="n"/>
    </row>
    <row r="208">
      <c r="A208" s="18" t="n"/>
      <c r="B208" s="18" t="n"/>
      <c r="C208" s="30" t="n"/>
      <c r="D208" s="30" t="n"/>
      <c r="E208" s="18" t="n"/>
      <c r="F208" s="18" t="n"/>
      <c r="G208" s="5" t="n"/>
    </row>
    <row r="209">
      <c r="A209" s="18" t="n"/>
      <c r="B209" s="18" t="n"/>
      <c r="C209" s="30" t="n"/>
      <c r="D209" s="30" t="n"/>
      <c r="E209" s="18" t="n"/>
      <c r="F209" s="18" t="n"/>
      <c r="G209" s="5" t="n"/>
    </row>
    <row r="210">
      <c r="A210" s="18" t="n"/>
      <c r="B210" s="18" t="n"/>
      <c r="C210" s="30" t="n"/>
      <c r="D210" s="30" t="n"/>
      <c r="E210" s="18" t="n"/>
      <c r="F210" s="18" t="n"/>
      <c r="G210" s="5" t="n"/>
    </row>
    <row r="211">
      <c r="A211" s="18" t="n"/>
      <c r="B211" s="18" t="n"/>
      <c r="C211" s="30" t="n"/>
      <c r="D211" s="30" t="n"/>
      <c r="E211" s="18" t="n"/>
      <c r="F211" s="18" t="n"/>
      <c r="G211" s="5" t="n"/>
    </row>
    <row r="212">
      <c r="A212" s="18" t="n"/>
      <c r="B212" s="18" t="n"/>
      <c r="C212" s="30" t="n"/>
      <c r="D212" s="30" t="n"/>
      <c r="E212" s="18" t="n"/>
      <c r="F212" s="18" t="n"/>
      <c r="G212" s="5" t="n"/>
    </row>
    <row r="213">
      <c r="A213" s="18" t="n"/>
      <c r="B213" s="18" t="n"/>
      <c r="C213" s="30" t="n"/>
      <c r="D213" s="30" t="n"/>
      <c r="E213" s="18" t="n"/>
      <c r="F213" s="18" t="n"/>
      <c r="G213" s="5" t="n"/>
    </row>
    <row r="214">
      <c r="A214" s="18" t="n"/>
      <c r="B214" s="18" t="n"/>
      <c r="C214" s="30" t="n"/>
      <c r="D214" s="30" t="n"/>
      <c r="E214" s="18" t="n"/>
      <c r="F214" s="18" t="n"/>
      <c r="G214" s="5" t="n"/>
    </row>
    <row r="215">
      <c r="A215" s="18" t="n"/>
      <c r="B215" s="18" t="n"/>
      <c r="C215" s="30" t="n"/>
      <c r="D215" s="30" t="n"/>
      <c r="E215" s="18" t="n"/>
      <c r="F215" s="18" t="n"/>
      <c r="G215" s="5" t="n"/>
    </row>
    <row r="216">
      <c r="A216" s="18" t="n"/>
      <c r="B216" s="18" t="n"/>
      <c r="C216" s="30" t="n"/>
      <c r="D216" s="30" t="n"/>
      <c r="E216" s="18" t="n"/>
      <c r="F216" s="18" t="n"/>
      <c r="G216" s="5" t="n"/>
    </row>
    <row r="217">
      <c r="A217" s="18" t="n"/>
      <c r="B217" s="18" t="n"/>
      <c r="C217" s="30" t="n"/>
      <c r="D217" s="30" t="n"/>
      <c r="E217" s="18" t="n"/>
      <c r="F217" s="18" t="n"/>
      <c r="G217" s="5" t="n"/>
    </row>
    <row r="218">
      <c r="A218" s="18" t="n"/>
      <c r="B218" s="18" t="n"/>
      <c r="C218" s="30" t="n"/>
      <c r="D218" s="30" t="n"/>
      <c r="E218" s="18" t="n"/>
      <c r="F218" s="18" t="n"/>
      <c r="G218" s="5" t="n"/>
    </row>
    <row r="219">
      <c r="A219" s="18" t="n"/>
      <c r="B219" s="18" t="n"/>
      <c r="C219" s="30" t="n"/>
      <c r="D219" s="30" t="n"/>
      <c r="E219" s="18" t="n"/>
      <c r="F219" s="18" t="n"/>
      <c r="G219" s="5" t="n"/>
    </row>
    <row r="220">
      <c r="A220" s="18" t="n"/>
      <c r="B220" s="18" t="n"/>
      <c r="C220" s="30" t="n"/>
      <c r="D220" s="30" t="n"/>
      <c r="E220" s="18" t="n"/>
      <c r="F220" s="18" t="n"/>
      <c r="G220" s="5" t="n"/>
    </row>
    <row r="221">
      <c r="A221" s="18" t="n"/>
      <c r="B221" s="18" t="n"/>
      <c r="C221" s="30" t="n"/>
      <c r="D221" s="30" t="n"/>
      <c r="E221" s="18" t="n"/>
      <c r="F221" s="18" t="n"/>
      <c r="G221" s="5" t="n"/>
    </row>
    <row r="222">
      <c r="A222" s="18" t="n"/>
      <c r="B222" s="18" t="n"/>
      <c r="C222" s="30" t="n"/>
      <c r="D222" s="30" t="n"/>
      <c r="E222" s="18" t="n"/>
      <c r="F222" s="18" t="n"/>
      <c r="G222" s="5" t="n"/>
    </row>
    <row r="223">
      <c r="A223" s="18" t="n"/>
      <c r="B223" s="18" t="n"/>
      <c r="C223" s="30" t="n"/>
      <c r="D223" s="30" t="n"/>
      <c r="E223" s="18" t="n"/>
      <c r="F223" s="18" t="n"/>
      <c r="G223" s="5" t="n"/>
    </row>
    <row r="224">
      <c r="A224" s="18" t="n"/>
      <c r="B224" s="18" t="n"/>
      <c r="C224" s="30" t="n"/>
      <c r="D224" s="30" t="n"/>
      <c r="E224" s="18" t="n"/>
      <c r="F224" s="18" t="n"/>
      <c r="G224" s="5" t="n"/>
    </row>
    <row r="225">
      <c r="A225" s="18" t="n"/>
      <c r="B225" s="18" t="n"/>
      <c r="C225" s="30" t="n"/>
      <c r="D225" s="30" t="n"/>
      <c r="E225" s="18" t="n"/>
      <c r="F225" s="18" t="n"/>
      <c r="G225" s="5" t="n"/>
    </row>
    <row r="226">
      <c r="A226" s="18" t="n"/>
      <c r="B226" s="18" t="n"/>
      <c r="C226" s="30" t="n"/>
      <c r="D226" s="30" t="n"/>
      <c r="E226" s="18" t="n"/>
      <c r="F226" s="18" t="n"/>
      <c r="G226" s="5" t="n"/>
    </row>
    <row r="227">
      <c r="A227" s="18" t="n"/>
      <c r="B227" s="18" t="n"/>
      <c r="C227" s="30" t="n"/>
      <c r="D227" s="30" t="n"/>
      <c r="E227" s="18" t="n"/>
      <c r="F227" s="18" t="n"/>
      <c r="G227" s="5" t="n"/>
    </row>
    <row r="228">
      <c r="A228" s="18" t="n"/>
      <c r="B228" s="18" t="n"/>
      <c r="C228" s="30" t="n"/>
      <c r="D228" s="30" t="n"/>
      <c r="E228" s="18" t="n"/>
      <c r="F228" s="18" t="n"/>
      <c r="G228" s="5" t="n"/>
    </row>
    <row r="229">
      <c r="A229" s="18" t="n"/>
      <c r="B229" s="18" t="n"/>
      <c r="C229" s="30" t="n"/>
      <c r="D229" s="30" t="n"/>
      <c r="E229" s="18" t="n"/>
      <c r="F229" s="18" t="n"/>
      <c r="G229" s="5" t="n"/>
    </row>
    <row r="230">
      <c r="A230" s="18" t="n"/>
      <c r="B230" s="18" t="n"/>
      <c r="C230" s="30" t="n"/>
      <c r="D230" s="30" t="n"/>
      <c r="E230" s="18" t="n"/>
      <c r="F230" s="18" t="n"/>
      <c r="G230" s="5" t="n"/>
    </row>
    <row r="231">
      <c r="A231" s="18" t="n"/>
      <c r="B231" s="18" t="n"/>
      <c r="C231" s="30" t="n"/>
      <c r="D231" s="30" t="n"/>
      <c r="E231" s="18" t="n"/>
      <c r="F231" s="18" t="n"/>
      <c r="G231" s="5" t="n"/>
    </row>
    <row r="232">
      <c r="A232" s="18" t="n"/>
      <c r="B232" s="18" t="n"/>
      <c r="C232" s="30" t="n"/>
      <c r="D232" s="30" t="n"/>
      <c r="E232" s="18" t="n"/>
      <c r="F232" s="18" t="n"/>
      <c r="G232" s="5" t="n"/>
    </row>
    <row r="233">
      <c r="A233" s="18" t="n"/>
      <c r="B233" s="18" t="n"/>
      <c r="C233" s="30" t="n"/>
      <c r="D233" s="30" t="n"/>
      <c r="E233" s="18" t="n"/>
      <c r="F233" s="18" t="n"/>
      <c r="G233" s="5" t="n"/>
    </row>
    <row r="234">
      <c r="A234" s="18" t="n"/>
      <c r="B234" s="18" t="n"/>
      <c r="C234" s="30" t="n"/>
      <c r="D234" s="30" t="n"/>
      <c r="E234" s="18" t="n"/>
      <c r="F234" s="18" t="n"/>
      <c r="G234" s="5" t="n"/>
    </row>
    <row r="235">
      <c r="A235" s="18" t="n"/>
      <c r="B235" s="18" t="n"/>
      <c r="C235" s="30" t="n"/>
      <c r="D235" s="30" t="n"/>
      <c r="E235" s="18" t="n"/>
      <c r="F235" s="18" t="n"/>
      <c r="G235" s="5" t="n"/>
    </row>
    <row r="236">
      <c r="A236" s="18" t="n"/>
      <c r="B236" s="18" t="n"/>
      <c r="C236" s="30" t="n"/>
      <c r="D236" s="30" t="n"/>
      <c r="E236" s="18" t="n"/>
      <c r="F236" s="18" t="n"/>
      <c r="G236" s="5" t="n"/>
    </row>
    <row r="237">
      <c r="A237" s="18" t="n"/>
      <c r="B237" s="18" t="n"/>
      <c r="C237" s="30" t="n"/>
      <c r="D237" s="30" t="n"/>
      <c r="E237" s="18" t="n"/>
      <c r="F237" s="18" t="n"/>
      <c r="G237" s="5" t="n"/>
    </row>
    <row r="238">
      <c r="A238" s="18" t="n"/>
      <c r="B238" s="18" t="n"/>
      <c r="C238" s="30" t="n"/>
      <c r="D238" s="30" t="n"/>
      <c r="E238" s="18" t="n"/>
      <c r="F238" s="18" t="n"/>
      <c r="G238" s="5" t="n"/>
    </row>
    <row r="239">
      <c r="A239" s="18" t="n"/>
      <c r="B239" s="18" t="n"/>
      <c r="C239" s="30" t="n"/>
      <c r="D239" s="30" t="n"/>
      <c r="E239" s="18" t="n"/>
      <c r="F239" s="18" t="n"/>
      <c r="G239" s="5" t="n"/>
    </row>
    <row r="240">
      <c r="A240" s="18" t="n"/>
      <c r="B240" s="18" t="n"/>
      <c r="C240" s="30" t="n"/>
      <c r="D240" s="30" t="n"/>
      <c r="E240" s="18" t="n"/>
      <c r="F240" s="18" t="n"/>
      <c r="G240" s="5" t="n"/>
    </row>
    <row r="241">
      <c r="A241" s="18" t="n"/>
      <c r="B241" s="18" t="n"/>
      <c r="C241" s="30" t="n"/>
      <c r="D241" s="30" t="n"/>
      <c r="E241" s="18" t="n"/>
      <c r="F241" s="18" t="n"/>
      <c r="G241" s="5" t="n"/>
    </row>
    <row r="242">
      <c r="A242" s="18" t="n"/>
      <c r="B242" s="18" t="n"/>
      <c r="C242" s="30" t="n"/>
      <c r="D242" s="30" t="n"/>
      <c r="E242" s="18" t="n"/>
      <c r="F242" s="18" t="n"/>
      <c r="G242" s="5" t="n"/>
    </row>
    <row r="243">
      <c r="A243" s="18" t="n"/>
      <c r="B243" s="18" t="n"/>
      <c r="C243" s="30" t="n"/>
      <c r="D243" s="30" t="n"/>
      <c r="E243" s="18" t="n"/>
      <c r="F243" s="18" t="n"/>
      <c r="G243" s="5" t="n"/>
    </row>
    <row r="244">
      <c r="A244" s="18" t="n"/>
      <c r="B244" s="18" t="n"/>
      <c r="C244" s="30" t="n"/>
      <c r="D244" s="30" t="n"/>
      <c r="E244" s="18" t="n"/>
      <c r="F244" s="18" t="n"/>
      <c r="G244" s="5" t="n"/>
    </row>
    <row r="245">
      <c r="A245" s="18" t="n"/>
      <c r="B245" s="18" t="n"/>
      <c r="C245" s="30" t="n"/>
      <c r="D245" s="30" t="n"/>
      <c r="E245" s="18" t="n"/>
      <c r="F245" s="18" t="n"/>
      <c r="G245" s="5" t="n"/>
    </row>
    <row r="246">
      <c r="A246" s="18" t="n"/>
      <c r="B246" s="18" t="n"/>
      <c r="C246" s="30" t="n"/>
      <c r="D246" s="30" t="n"/>
      <c r="E246" s="18" t="n"/>
      <c r="F246" s="18" t="n"/>
      <c r="G246" s="5" t="n"/>
    </row>
    <row r="247">
      <c r="A247" s="18" t="n"/>
      <c r="B247" s="18" t="n"/>
      <c r="C247" s="30" t="n"/>
      <c r="D247" s="30" t="n"/>
      <c r="E247" s="18" t="n"/>
      <c r="F247" s="18" t="n"/>
      <c r="G247" s="5" t="n"/>
    </row>
    <row r="248">
      <c r="A248" s="18" t="n"/>
      <c r="B248" s="18" t="n"/>
      <c r="C248" s="30" t="n"/>
      <c r="D248" s="30" t="n"/>
      <c r="E248" s="18" t="n"/>
      <c r="F248" s="18" t="n"/>
      <c r="G248" s="5" t="n"/>
    </row>
    <row r="249">
      <c r="A249" s="18" t="n"/>
      <c r="B249" s="18" t="n"/>
      <c r="C249" s="30" t="n"/>
      <c r="D249" s="30" t="n"/>
      <c r="E249" s="18" t="n"/>
      <c r="F249" s="18" t="n"/>
      <c r="G249" s="5" t="n"/>
    </row>
    <row r="250">
      <c r="A250" s="18" t="n"/>
      <c r="B250" s="18" t="n"/>
      <c r="C250" s="30" t="n"/>
      <c r="D250" s="30" t="n"/>
      <c r="E250" s="18" t="n"/>
      <c r="F250" s="18" t="n"/>
      <c r="G250" s="5" t="n"/>
    </row>
    <row r="251">
      <c r="A251" s="18" t="n"/>
      <c r="B251" s="18" t="n"/>
      <c r="C251" s="30" t="n"/>
      <c r="D251" s="30" t="n"/>
      <c r="E251" s="18" t="n"/>
      <c r="F251" s="18" t="n"/>
      <c r="G251" s="5" t="n"/>
    </row>
    <row r="252">
      <c r="A252" s="18" t="n"/>
      <c r="B252" s="18" t="n"/>
      <c r="C252" s="30" t="n"/>
      <c r="D252" s="30" t="n"/>
      <c r="E252" s="18" t="n"/>
      <c r="F252" s="18" t="n"/>
      <c r="G252" s="5" t="n"/>
    </row>
    <row r="253">
      <c r="A253" s="18" t="n"/>
      <c r="B253" s="18" t="n"/>
      <c r="C253" s="30" t="n"/>
      <c r="D253" s="30" t="n"/>
      <c r="E253" s="18" t="n"/>
      <c r="F253" s="18" t="n"/>
      <c r="G253" s="5" t="n"/>
    </row>
    <row r="254">
      <c r="A254" s="18" t="n"/>
      <c r="B254" s="18" t="n"/>
      <c r="C254" s="30" t="n"/>
      <c r="D254" s="30" t="n"/>
      <c r="E254" s="18" t="n"/>
      <c r="F254" s="18" t="n"/>
      <c r="G254" s="5" t="n"/>
    </row>
    <row r="255">
      <c r="A255" s="18" t="n"/>
      <c r="B255" s="18" t="n"/>
      <c r="C255" s="30" t="n"/>
      <c r="D255" s="30" t="n"/>
      <c r="E255" s="18" t="n"/>
      <c r="F255" s="18" t="n"/>
      <c r="G255" s="5" t="n"/>
    </row>
    <row r="256">
      <c r="A256" s="18" t="n"/>
      <c r="B256" s="18" t="n"/>
      <c r="C256" s="30" t="n"/>
      <c r="D256" s="30" t="n"/>
      <c r="E256" s="18" t="n"/>
      <c r="F256" s="18" t="n"/>
      <c r="G256" s="5" t="n"/>
    </row>
    <row r="257">
      <c r="A257" s="18" t="n"/>
      <c r="B257" s="18" t="n"/>
      <c r="C257" s="30" t="n"/>
      <c r="D257" s="30" t="n"/>
      <c r="E257" s="18" t="n"/>
      <c r="F257" s="18" t="n"/>
      <c r="G257" s="5" t="n"/>
    </row>
    <row r="258">
      <c r="A258" s="18" t="n"/>
      <c r="B258" s="18" t="n"/>
      <c r="C258" s="30" t="n"/>
      <c r="D258" s="30" t="n"/>
      <c r="E258" s="18" t="n"/>
      <c r="F258" s="18" t="n"/>
      <c r="G258" s="5" t="n"/>
    </row>
    <row r="259">
      <c r="A259" s="18" t="n"/>
      <c r="B259" s="18" t="n"/>
      <c r="C259" s="30" t="n"/>
      <c r="D259" s="30" t="n"/>
      <c r="E259" s="18" t="n"/>
      <c r="F259" s="18" t="n"/>
      <c r="G259" s="5" t="n"/>
    </row>
    <row r="260">
      <c r="A260" s="18" t="n"/>
      <c r="B260" s="18" t="n"/>
      <c r="C260" s="30" t="n"/>
      <c r="D260" s="30" t="n"/>
      <c r="E260" s="18" t="n"/>
      <c r="F260" s="18" t="n"/>
      <c r="G260" s="5" t="n"/>
    </row>
    <row r="261">
      <c r="A261" s="18" t="n"/>
      <c r="B261" s="18" t="n"/>
      <c r="C261" s="30" t="n"/>
      <c r="D261" s="30" t="n"/>
      <c r="E261" s="18" t="n"/>
      <c r="F261" s="18" t="n"/>
      <c r="G261" s="5" t="n"/>
    </row>
    <row r="262">
      <c r="A262" s="18" t="n"/>
      <c r="B262" s="18" t="n"/>
      <c r="C262" s="30" t="n"/>
      <c r="D262" s="30" t="n"/>
      <c r="E262" s="18" t="n"/>
      <c r="F262" s="18" t="n"/>
      <c r="G262" s="5" t="n"/>
    </row>
    <row r="263">
      <c r="A263" s="18" t="n"/>
      <c r="B263" s="18" t="n"/>
      <c r="C263" s="30" t="n"/>
      <c r="D263" s="30" t="n"/>
      <c r="E263" s="18" t="n"/>
      <c r="F263" s="18" t="n"/>
      <c r="G263" s="5" t="n"/>
    </row>
    <row r="264">
      <c r="A264" s="18" t="n"/>
      <c r="B264" s="18" t="n"/>
      <c r="C264" s="30" t="n"/>
      <c r="D264" s="30" t="n"/>
      <c r="E264" s="18" t="n"/>
      <c r="F264" s="18" t="n"/>
      <c r="G264" s="5" t="n"/>
    </row>
    <row r="265">
      <c r="A265" s="18" t="n"/>
      <c r="B265" s="18" t="n"/>
      <c r="C265" s="30" t="n"/>
      <c r="D265" s="30" t="n"/>
      <c r="E265" s="18" t="n"/>
      <c r="F265" s="18" t="n"/>
      <c r="G265" s="5" t="n"/>
    </row>
    <row r="266">
      <c r="A266" s="18" t="n"/>
      <c r="B266" s="18" t="n"/>
      <c r="C266" s="30" t="n"/>
      <c r="D266" s="30" t="n"/>
      <c r="E266" s="18" t="n"/>
      <c r="F266" s="18" t="n"/>
      <c r="G266" s="5" t="n"/>
    </row>
    <row r="267">
      <c r="A267" s="18" t="n"/>
      <c r="B267" s="18" t="n"/>
      <c r="C267" s="30" t="n"/>
      <c r="D267" s="30" t="n"/>
      <c r="E267" s="18" t="n"/>
      <c r="F267" s="18" t="n"/>
      <c r="G267" s="5" t="n"/>
    </row>
    <row r="268">
      <c r="A268" s="18" t="n"/>
      <c r="B268" s="18" t="n"/>
      <c r="C268" s="30" t="n"/>
      <c r="D268" s="30" t="n"/>
      <c r="E268" s="18" t="n"/>
      <c r="F268" s="18" t="n"/>
      <c r="G268" s="5" t="n"/>
    </row>
    <row r="269">
      <c r="A269" s="18" t="n"/>
      <c r="B269" s="18" t="n"/>
      <c r="C269" s="30" t="n"/>
      <c r="D269" s="30" t="n"/>
      <c r="E269" s="18" t="n"/>
      <c r="F269" s="18" t="n"/>
      <c r="G269" s="5" t="n"/>
    </row>
    <row r="270">
      <c r="A270" s="18" t="n"/>
      <c r="B270" s="18" t="n"/>
      <c r="C270" s="30" t="n"/>
      <c r="D270" s="30" t="n"/>
      <c r="E270" s="18" t="n"/>
      <c r="F270" s="18" t="n"/>
      <c r="G270" s="5" t="n"/>
    </row>
    <row r="271">
      <c r="A271" s="18" t="n"/>
      <c r="B271" s="18" t="n"/>
      <c r="C271" s="30" t="n"/>
      <c r="D271" s="30" t="n"/>
      <c r="E271" s="18" t="n"/>
      <c r="F271" s="18" t="n"/>
      <c r="G271" s="5" t="n"/>
    </row>
    <row r="272">
      <c r="A272" s="18" t="n"/>
      <c r="B272" s="18" t="n"/>
      <c r="C272" s="30" t="n"/>
      <c r="D272" s="30" t="n"/>
      <c r="E272" s="18" t="n"/>
      <c r="F272" s="18" t="n"/>
      <c r="G272" s="5" t="n"/>
    </row>
    <row r="273">
      <c r="A273" s="18" t="n"/>
      <c r="B273" s="18" t="n"/>
      <c r="C273" s="30" t="n"/>
      <c r="D273" s="30" t="n"/>
      <c r="E273" s="18" t="n"/>
      <c r="F273" s="18" t="n"/>
      <c r="G273" s="5" t="n"/>
    </row>
    <row r="274">
      <c r="A274" s="18" t="n"/>
      <c r="B274" s="18" t="n"/>
      <c r="C274" s="30" t="n"/>
      <c r="D274" s="30" t="n"/>
      <c r="E274" s="18" t="n"/>
      <c r="F274" s="18" t="n"/>
      <c r="G274" s="5" t="n"/>
    </row>
    <row r="275">
      <c r="A275" s="18" t="n"/>
      <c r="B275" s="18" t="n"/>
      <c r="C275" s="30" t="n"/>
      <c r="D275" s="30" t="n"/>
      <c r="E275" s="18" t="n"/>
      <c r="F275" s="18" t="n"/>
      <c r="G275" s="5" t="n"/>
    </row>
    <row r="276">
      <c r="A276" s="18" t="n"/>
      <c r="B276" s="18" t="n"/>
      <c r="C276" s="30" t="n"/>
      <c r="D276" s="30" t="n"/>
      <c r="E276" s="18" t="n"/>
      <c r="F276" s="18" t="n"/>
      <c r="G276" s="5" t="n"/>
    </row>
    <row r="277">
      <c r="A277" s="18" t="n"/>
      <c r="B277" s="18" t="n"/>
      <c r="C277" s="30" t="n"/>
      <c r="D277" s="30" t="n"/>
      <c r="E277" s="18" t="n"/>
      <c r="F277" s="18" t="n"/>
      <c r="G277" s="5" t="n"/>
    </row>
    <row r="278">
      <c r="A278" s="18" t="n"/>
      <c r="B278" s="18" t="n"/>
      <c r="C278" s="30" t="n"/>
      <c r="D278" s="30" t="n"/>
      <c r="E278" s="18" t="n"/>
      <c r="F278" s="18" t="n"/>
      <c r="G278" s="5" t="n"/>
    </row>
    <row r="279">
      <c r="A279" s="18" t="n"/>
      <c r="B279" s="18" t="n"/>
      <c r="C279" s="30" t="n"/>
      <c r="D279" s="30" t="n"/>
      <c r="E279" s="18" t="n"/>
      <c r="F279" s="18" t="n"/>
      <c r="G279" s="5" t="n"/>
    </row>
    <row r="280">
      <c r="A280" s="18" t="n"/>
      <c r="B280" s="18" t="n"/>
      <c r="C280" s="30" t="n"/>
      <c r="D280" s="30" t="n"/>
      <c r="E280" s="18" t="n"/>
      <c r="F280" s="18" t="n"/>
      <c r="G280" s="5" t="n"/>
    </row>
    <row r="281">
      <c r="A281" s="18" t="n"/>
      <c r="B281" s="18" t="n"/>
      <c r="C281" s="30" t="n"/>
      <c r="D281" s="30" t="n"/>
      <c r="E281" s="18" t="n"/>
      <c r="F281" s="18" t="n"/>
      <c r="G281" s="5" t="n"/>
    </row>
    <row r="282">
      <c r="A282" s="18" t="n"/>
      <c r="B282" s="18" t="n"/>
      <c r="C282" s="30" t="n"/>
      <c r="D282" s="30" t="n"/>
      <c r="E282" s="18" t="n"/>
      <c r="F282" s="18" t="n"/>
      <c r="G282" s="5" t="n"/>
    </row>
    <row r="283">
      <c r="A283" s="18" t="n"/>
      <c r="B283" s="18" t="n"/>
      <c r="C283" s="30" t="n"/>
      <c r="D283" s="30" t="n"/>
      <c r="E283" s="18" t="n"/>
      <c r="F283" s="18" t="n"/>
      <c r="G283" s="5" t="n"/>
    </row>
    <row r="284">
      <c r="A284" s="18" t="n"/>
      <c r="B284" s="18" t="n"/>
      <c r="C284" s="30" t="n"/>
      <c r="D284" s="30" t="n"/>
      <c r="E284" s="18" t="n"/>
      <c r="F284" s="18" t="n"/>
      <c r="G284" s="5" t="n"/>
    </row>
    <row r="285">
      <c r="A285" s="18" t="n"/>
      <c r="B285" s="18" t="n"/>
      <c r="C285" s="30" t="n"/>
      <c r="D285" s="30" t="n"/>
      <c r="E285" s="18" t="n"/>
      <c r="F285" s="18" t="n"/>
      <c r="G285" s="5" t="n"/>
    </row>
    <row r="286">
      <c r="A286" s="18" t="n"/>
      <c r="B286" s="18" t="n"/>
      <c r="C286" s="30" t="n"/>
      <c r="D286" s="30" t="n"/>
      <c r="E286" s="18" t="n"/>
      <c r="F286" s="18" t="n"/>
      <c r="G286" s="5" t="n"/>
    </row>
    <row r="287">
      <c r="A287" s="18" t="n"/>
      <c r="B287" s="18" t="n"/>
      <c r="C287" s="30" t="n"/>
      <c r="D287" s="30" t="n"/>
      <c r="E287" s="18" t="n"/>
      <c r="F287" s="18" t="n"/>
      <c r="G287" s="5" t="n"/>
    </row>
    <row r="288">
      <c r="A288" s="18" t="n"/>
      <c r="B288" s="18" t="n"/>
      <c r="C288" s="30" t="n"/>
      <c r="D288" s="30" t="n"/>
      <c r="E288" s="18" t="n"/>
      <c r="F288" s="18" t="n"/>
      <c r="G288" s="5" t="n"/>
    </row>
    <row r="289">
      <c r="A289" s="18" t="n"/>
      <c r="B289" s="18" t="n"/>
      <c r="C289" s="30" t="n"/>
      <c r="D289" s="30" t="n"/>
      <c r="E289" s="18" t="n"/>
      <c r="F289" s="18" t="n"/>
      <c r="G289" s="5" t="n"/>
    </row>
    <row r="290">
      <c r="A290" s="18" t="n"/>
      <c r="B290" s="18" t="n"/>
      <c r="C290" s="30" t="n"/>
      <c r="D290" s="30" t="n"/>
      <c r="E290" s="18" t="n"/>
      <c r="F290" s="18" t="n"/>
      <c r="G290" s="5" t="n"/>
    </row>
    <row r="291">
      <c r="A291" s="18" t="n"/>
      <c r="B291" s="18" t="n"/>
      <c r="C291" s="30" t="n"/>
      <c r="D291" s="30" t="n"/>
      <c r="E291" s="18" t="n"/>
      <c r="F291" s="18" t="n"/>
      <c r="G291" s="5" t="n"/>
    </row>
    <row r="292">
      <c r="A292" s="18" t="n"/>
      <c r="B292" s="18" t="n"/>
      <c r="C292" s="30" t="n"/>
      <c r="D292" s="30" t="n"/>
      <c r="E292" s="18" t="n"/>
      <c r="F292" s="18" t="n"/>
      <c r="G292" s="5" t="n"/>
    </row>
    <row r="293">
      <c r="A293" s="18" t="n"/>
      <c r="B293" s="18" t="n"/>
      <c r="C293" s="30" t="n"/>
      <c r="D293" s="30" t="n"/>
      <c r="E293" s="18" t="n"/>
      <c r="F293" s="18" t="n"/>
      <c r="G293" s="5" t="n"/>
    </row>
    <row r="294">
      <c r="A294" s="18" t="n"/>
      <c r="B294" s="18" t="n"/>
      <c r="C294" s="30" t="n"/>
      <c r="D294" s="30" t="n"/>
      <c r="E294" s="18" t="n"/>
      <c r="F294" s="18" t="n"/>
      <c r="G294" s="5" t="n"/>
    </row>
    <row r="295">
      <c r="A295" s="18" t="n"/>
      <c r="B295" s="18" t="n"/>
      <c r="C295" s="30" t="n"/>
      <c r="D295" s="30" t="n"/>
      <c r="E295" s="18" t="n"/>
      <c r="F295" s="18" t="n"/>
      <c r="G295" s="5" t="n"/>
    </row>
    <row r="296">
      <c r="A296" s="18" t="n"/>
      <c r="B296" s="18" t="n"/>
      <c r="C296" s="30" t="n"/>
      <c r="D296" s="30" t="n"/>
      <c r="E296" s="18" t="n"/>
      <c r="F296" s="18" t="n"/>
      <c r="G296" s="5" t="n"/>
    </row>
    <row r="297">
      <c r="A297" s="18" t="n"/>
      <c r="B297" s="18" t="n"/>
      <c r="C297" s="30" t="n"/>
      <c r="D297" s="30" t="n"/>
      <c r="E297" s="18" t="n"/>
      <c r="F297" s="18" t="n"/>
      <c r="G297" s="5" t="n"/>
    </row>
    <row r="298">
      <c r="A298" s="18" t="n"/>
      <c r="B298" s="18" t="n"/>
      <c r="C298" s="30" t="n"/>
      <c r="D298" s="30" t="n"/>
      <c r="E298" s="18" t="n"/>
      <c r="F298" s="18" t="n"/>
      <c r="G298" s="5" t="n"/>
    </row>
    <row r="299">
      <c r="A299" s="18" t="n"/>
      <c r="B299" s="18" t="n"/>
      <c r="C299" s="30" t="n"/>
      <c r="D299" s="30" t="n"/>
      <c r="E299" s="18" t="n"/>
      <c r="F299" s="18" t="n"/>
      <c r="G299" s="5" t="n"/>
    </row>
    <row r="300">
      <c r="A300" s="18" t="n"/>
      <c r="B300" s="18" t="n"/>
      <c r="C300" s="30" t="n"/>
      <c r="D300" s="30" t="n"/>
      <c r="E300" s="18" t="n"/>
      <c r="F300" s="18" t="n"/>
      <c r="G300" s="5" t="n"/>
    </row>
    <row r="301">
      <c r="A301" s="18" t="n"/>
      <c r="B301" s="18" t="n"/>
      <c r="C301" s="30" t="n"/>
      <c r="D301" s="30" t="n"/>
      <c r="E301" s="18" t="n"/>
      <c r="F301" s="18" t="n"/>
      <c r="G301" s="5" t="n"/>
    </row>
    <row r="302">
      <c r="A302" s="18" t="n"/>
      <c r="B302" s="18" t="n"/>
      <c r="C302" s="30" t="n"/>
      <c r="D302" s="30" t="n"/>
      <c r="E302" s="18" t="n"/>
      <c r="F302" s="18" t="n"/>
      <c r="G302" s="5" t="n"/>
    </row>
    <row r="303">
      <c r="A303" s="18" t="n"/>
      <c r="B303" s="18" t="n"/>
      <c r="C303" s="30" t="n"/>
      <c r="D303" s="30" t="n"/>
      <c r="E303" s="18" t="n"/>
      <c r="F303" s="18" t="n"/>
      <c r="G303" s="5" t="n"/>
    </row>
    <row r="304">
      <c r="A304" s="18" t="n"/>
      <c r="B304" s="18" t="n"/>
      <c r="C304" s="30" t="n"/>
      <c r="D304" s="30" t="n"/>
      <c r="E304" s="18" t="n"/>
      <c r="F304" s="18" t="n"/>
      <c r="G304" s="5" t="n"/>
    </row>
    <row r="305">
      <c r="A305" s="18" t="n"/>
      <c r="B305" s="18" t="n"/>
      <c r="C305" s="30" t="n"/>
      <c r="D305" s="30" t="n"/>
      <c r="E305" s="18" t="n"/>
      <c r="F305" s="18" t="n"/>
      <c r="G305" s="5" t="n"/>
    </row>
    <row r="306">
      <c r="A306" s="18" t="n"/>
      <c r="B306" s="18" t="n"/>
      <c r="C306" s="30" t="n"/>
      <c r="D306" s="30" t="n"/>
      <c r="E306" s="18" t="n"/>
      <c r="F306" s="18" t="n"/>
      <c r="G306" s="5" t="n"/>
    </row>
    <row r="307">
      <c r="A307" s="18" t="n"/>
      <c r="B307" s="18" t="n"/>
      <c r="C307" s="30" t="n"/>
      <c r="D307" s="30" t="n"/>
      <c r="E307" s="18" t="n"/>
      <c r="F307" s="18" t="n"/>
      <c r="G307" s="5" t="n"/>
    </row>
    <row r="308">
      <c r="A308" s="18" t="n"/>
      <c r="B308" s="18" t="n"/>
      <c r="C308" s="30" t="n"/>
      <c r="D308" s="30" t="n"/>
      <c r="E308" s="18" t="n"/>
      <c r="F308" s="18" t="n"/>
      <c r="G308" s="5" t="n"/>
    </row>
    <row r="309">
      <c r="A309" s="18" t="n"/>
      <c r="B309" s="18" t="n"/>
      <c r="C309" s="30" t="n"/>
      <c r="D309" s="30" t="n"/>
      <c r="E309" s="18" t="n"/>
      <c r="F309" s="18" t="n"/>
      <c r="G309" s="5" t="n"/>
    </row>
    <row r="310">
      <c r="A310" s="18" t="n"/>
      <c r="B310" s="18" t="n"/>
      <c r="C310" s="30" t="n"/>
      <c r="D310" s="30" t="n"/>
      <c r="E310" s="18" t="n"/>
      <c r="F310" s="18" t="n"/>
      <c r="G310" s="5" t="n"/>
    </row>
    <row r="311">
      <c r="A311" s="18" t="n"/>
      <c r="B311" s="18" t="n"/>
      <c r="C311" s="30" t="n"/>
      <c r="D311" s="30" t="n"/>
      <c r="E311" s="18" t="n"/>
      <c r="F311" s="18" t="n"/>
      <c r="G311" s="5" t="n"/>
    </row>
    <row r="312">
      <c r="A312" s="18" t="n"/>
      <c r="B312" s="18" t="n"/>
      <c r="C312" s="30" t="n"/>
      <c r="D312" s="30" t="n"/>
      <c r="E312" s="18" t="n"/>
      <c r="F312" s="18" t="n"/>
      <c r="G312" s="5" t="n"/>
    </row>
    <row r="313">
      <c r="A313" s="18" t="n"/>
      <c r="B313" s="18" t="n"/>
      <c r="C313" s="30" t="n"/>
      <c r="D313" s="30" t="n"/>
      <c r="E313" s="18" t="n"/>
      <c r="F313" s="18" t="n"/>
      <c r="G313" s="5" t="n"/>
    </row>
    <row r="314">
      <c r="A314" s="18" t="n"/>
      <c r="B314" s="18" t="n"/>
      <c r="C314" s="30" t="n"/>
      <c r="D314" s="30" t="n"/>
      <c r="E314" s="18" t="n"/>
      <c r="F314" s="18" t="n"/>
      <c r="G314" s="5" t="n"/>
    </row>
    <row r="315">
      <c r="A315" s="18" t="n"/>
      <c r="B315" s="18" t="n"/>
      <c r="C315" s="30" t="n"/>
      <c r="D315" s="30" t="n"/>
      <c r="E315" s="18" t="n"/>
      <c r="F315" s="18" t="n"/>
      <c r="G315" s="5" t="n"/>
    </row>
    <row r="316">
      <c r="A316" s="18" t="n"/>
      <c r="B316" s="18" t="n"/>
      <c r="C316" s="30" t="n"/>
      <c r="D316" s="30" t="n"/>
      <c r="E316" s="18" t="n"/>
      <c r="F316" s="18" t="n"/>
      <c r="G316" s="5" t="n"/>
    </row>
    <row r="317">
      <c r="A317" s="18" t="n"/>
      <c r="B317" s="18" t="n"/>
      <c r="C317" s="30" t="n"/>
      <c r="D317" s="30" t="n"/>
      <c r="E317" s="18" t="n"/>
      <c r="F317" s="18" t="n"/>
      <c r="G317" s="5" t="n"/>
    </row>
    <row r="318">
      <c r="A318" s="18" t="n"/>
      <c r="B318" s="18" t="n"/>
      <c r="C318" s="30" t="n"/>
      <c r="D318" s="30" t="n"/>
      <c r="E318" s="18" t="n"/>
      <c r="F318" s="18" t="n"/>
      <c r="G318" s="5" t="n"/>
    </row>
    <row r="319">
      <c r="A319" s="18" t="n"/>
      <c r="B319" s="18" t="n"/>
      <c r="C319" s="30" t="n"/>
      <c r="D319" s="30" t="n"/>
      <c r="E319" s="18" t="n"/>
      <c r="F319" s="18" t="n"/>
      <c r="G319" s="5" t="n"/>
    </row>
    <row r="320">
      <c r="A320" s="18" t="n"/>
      <c r="B320" s="18" t="n"/>
      <c r="C320" s="30" t="n"/>
      <c r="D320" s="30" t="n"/>
      <c r="E320" s="18" t="n"/>
      <c r="F320" s="18" t="n"/>
      <c r="G320" s="5" t="n"/>
    </row>
    <row r="321">
      <c r="A321" s="18" t="n"/>
      <c r="B321" s="18" t="n"/>
      <c r="C321" s="30" t="n"/>
      <c r="D321" s="30" t="n"/>
      <c r="E321" s="18" t="n"/>
      <c r="F321" s="18" t="n"/>
      <c r="G321" s="5" t="n"/>
    </row>
    <row r="322">
      <c r="A322" s="18" t="n"/>
      <c r="B322" s="18" t="n"/>
      <c r="C322" s="30" t="n"/>
      <c r="D322" s="30" t="n"/>
      <c r="E322" s="18" t="n"/>
      <c r="F322" s="18" t="n"/>
      <c r="G322" s="5" t="n"/>
    </row>
    <row r="323">
      <c r="A323" s="18" t="n"/>
      <c r="B323" s="18" t="n"/>
      <c r="C323" s="30" t="n"/>
      <c r="D323" s="30" t="n"/>
      <c r="E323" s="18" t="n"/>
      <c r="F323" s="18" t="n"/>
      <c r="G323" s="5" t="n"/>
    </row>
    <row r="324">
      <c r="A324" s="18" t="n"/>
      <c r="B324" s="18" t="n"/>
      <c r="C324" s="30" t="n"/>
      <c r="D324" s="30" t="n"/>
      <c r="E324" s="18" t="n"/>
      <c r="F324" s="18" t="n"/>
      <c r="G324" s="5" t="n"/>
    </row>
    <row r="325">
      <c r="A325" s="18" t="n"/>
      <c r="B325" s="18" t="n"/>
      <c r="C325" s="30" t="n"/>
      <c r="D325" s="30" t="n"/>
      <c r="E325" s="18" t="n"/>
      <c r="F325" s="18" t="n"/>
      <c r="G325" s="5" t="n"/>
    </row>
    <row r="326">
      <c r="A326" s="18" t="n"/>
      <c r="B326" s="18" t="n"/>
      <c r="C326" s="30" t="n"/>
      <c r="D326" s="30" t="n"/>
      <c r="E326" s="18" t="n"/>
      <c r="F326" s="18" t="n"/>
      <c r="G326" s="5" t="n"/>
    </row>
    <row r="327">
      <c r="A327" s="18" t="n"/>
      <c r="B327" s="18" t="n"/>
      <c r="C327" s="30" t="n"/>
      <c r="D327" s="30" t="n"/>
      <c r="E327" s="18" t="n"/>
      <c r="F327" s="18" t="n"/>
      <c r="G327" s="5" t="n"/>
    </row>
    <row r="328">
      <c r="A328" s="18" t="n"/>
      <c r="B328" s="18" t="n"/>
      <c r="C328" s="30" t="n"/>
      <c r="D328" s="30" t="n"/>
      <c r="E328" s="18" t="n"/>
      <c r="F328" s="18" t="n"/>
      <c r="G328" s="5" t="n"/>
    </row>
    <row r="329">
      <c r="A329" s="18" t="n"/>
      <c r="B329" s="18" t="n"/>
      <c r="C329" s="30" t="n"/>
      <c r="D329" s="30" t="n"/>
      <c r="E329" s="18" t="n"/>
      <c r="F329" s="18" t="n"/>
      <c r="G329" s="5" t="n"/>
    </row>
    <row r="330">
      <c r="A330" s="18" t="n"/>
      <c r="B330" s="18" t="n"/>
      <c r="C330" s="30" t="n"/>
      <c r="D330" s="30" t="n"/>
      <c r="E330" s="18" t="n"/>
      <c r="F330" s="18" t="n"/>
      <c r="G330" s="5" t="n"/>
    </row>
    <row r="331">
      <c r="A331" s="18" t="n"/>
      <c r="B331" s="18" t="n"/>
      <c r="C331" s="30" t="n"/>
      <c r="D331" s="30" t="n"/>
      <c r="E331" s="18" t="n"/>
      <c r="F331" s="18" t="n"/>
      <c r="G331" s="5" t="n"/>
    </row>
    <row r="332">
      <c r="A332" s="18" t="n"/>
      <c r="B332" s="18" t="n"/>
      <c r="C332" s="30" t="n"/>
      <c r="D332" s="30" t="n"/>
      <c r="E332" s="18" t="n"/>
      <c r="F332" s="18" t="n"/>
      <c r="G332" s="5" t="n"/>
    </row>
    <row r="333">
      <c r="A333" s="18" t="n"/>
      <c r="B333" s="18" t="n"/>
      <c r="C333" s="30" t="n"/>
      <c r="D333" s="30" t="n"/>
      <c r="E333" s="18" t="n"/>
      <c r="F333" s="18" t="n"/>
      <c r="G333" s="5" t="n"/>
    </row>
    <row r="334">
      <c r="A334" s="18" t="n"/>
      <c r="B334" s="18" t="n"/>
      <c r="C334" s="30" t="n"/>
      <c r="D334" s="30" t="n"/>
      <c r="E334" s="18" t="n"/>
      <c r="F334" s="18" t="n"/>
      <c r="G334" s="5" t="n"/>
    </row>
    <row r="335">
      <c r="A335" s="18" t="n"/>
      <c r="B335" s="18" t="n"/>
      <c r="C335" s="30" t="n"/>
      <c r="D335" s="30" t="n"/>
      <c r="E335" s="18" t="n"/>
      <c r="F335" s="18" t="n"/>
      <c r="G335" s="5" t="n"/>
    </row>
    <row r="336">
      <c r="A336" s="18" t="n"/>
      <c r="B336" s="18" t="n"/>
      <c r="C336" s="30" t="n"/>
      <c r="D336" s="30" t="n"/>
      <c r="E336" s="18" t="n"/>
      <c r="F336" s="18" t="n"/>
      <c r="G336" s="5" t="n"/>
    </row>
    <row r="337">
      <c r="A337" s="18" t="n"/>
      <c r="B337" s="18" t="n"/>
      <c r="C337" s="30" t="n"/>
      <c r="D337" s="30" t="n"/>
      <c r="E337" s="18" t="n"/>
      <c r="F337" s="18" t="n"/>
      <c r="G337" s="5" t="n"/>
    </row>
    <row r="338">
      <c r="A338" s="18" t="n"/>
      <c r="B338" s="18" t="n"/>
      <c r="C338" s="30" t="n"/>
      <c r="D338" s="30" t="n"/>
      <c r="E338" s="18" t="n"/>
      <c r="F338" s="18" t="n"/>
      <c r="G338" s="5" t="n"/>
    </row>
    <row r="339">
      <c r="A339" s="18" t="n"/>
      <c r="B339" s="18" t="n"/>
      <c r="C339" s="30" t="n"/>
      <c r="D339" s="30" t="n"/>
      <c r="E339" s="18" t="n"/>
      <c r="F339" s="18" t="n"/>
      <c r="G339" s="5" t="n"/>
    </row>
    <row r="340">
      <c r="A340" s="18" t="n"/>
      <c r="B340" s="18" t="n"/>
      <c r="C340" s="30" t="n"/>
      <c r="D340" s="30" t="n"/>
      <c r="E340" s="18" t="n"/>
      <c r="F340" s="18" t="n"/>
      <c r="G340" s="5" t="n"/>
    </row>
    <row r="341">
      <c r="A341" s="18" t="n"/>
      <c r="B341" s="18" t="n"/>
      <c r="C341" s="30" t="n"/>
      <c r="D341" s="30" t="n"/>
      <c r="E341" s="18" t="n"/>
      <c r="F341" s="18" t="n"/>
      <c r="G341" s="5" t="n"/>
    </row>
    <row r="342">
      <c r="A342" s="18" t="n"/>
      <c r="B342" s="18" t="n"/>
      <c r="C342" s="30" t="n"/>
      <c r="D342" s="30" t="n"/>
      <c r="E342" s="18" t="n"/>
      <c r="F342" s="18" t="n"/>
      <c r="G342" s="5" t="n"/>
    </row>
    <row r="343">
      <c r="A343" s="18" t="n"/>
      <c r="B343" s="18" t="n"/>
      <c r="C343" s="30" t="n"/>
      <c r="D343" s="30" t="n"/>
      <c r="E343" s="18" t="n"/>
      <c r="F343" s="18" t="n"/>
      <c r="G343" s="5" t="n"/>
    </row>
    <row r="344">
      <c r="A344" s="18" t="n"/>
      <c r="B344" s="18" t="n"/>
      <c r="C344" s="30" t="n"/>
      <c r="D344" s="30" t="n"/>
      <c r="E344" s="18" t="n"/>
      <c r="F344" s="18" t="n"/>
      <c r="G344" s="5" t="n"/>
    </row>
    <row r="345">
      <c r="A345" s="18" t="n"/>
      <c r="B345" s="18" t="n"/>
      <c r="C345" s="30" t="n"/>
      <c r="D345" s="30" t="n"/>
      <c r="E345" s="18" t="n"/>
      <c r="F345" s="18" t="n"/>
      <c r="G345" s="5" t="n"/>
    </row>
    <row r="346">
      <c r="A346" s="18" t="n"/>
      <c r="B346" s="18" t="n"/>
      <c r="C346" s="30" t="n"/>
      <c r="D346" s="30" t="n"/>
      <c r="E346" s="18" t="n"/>
      <c r="F346" s="18" t="n"/>
      <c r="G346" s="5" t="n"/>
    </row>
    <row r="347">
      <c r="A347" s="18" t="n"/>
      <c r="B347" s="18" t="n"/>
      <c r="C347" s="30" t="n"/>
      <c r="D347" s="30" t="n"/>
      <c r="E347" s="18" t="n"/>
      <c r="F347" s="18" t="n"/>
      <c r="G347" s="5" t="n"/>
    </row>
    <row r="348">
      <c r="A348" s="18" t="n"/>
      <c r="B348" s="18" t="n"/>
      <c r="C348" s="30" t="n"/>
      <c r="D348" s="30" t="n"/>
      <c r="E348" s="18" t="n"/>
      <c r="F348" s="18" t="n"/>
      <c r="G348" s="5" t="n"/>
    </row>
    <row r="349">
      <c r="A349" s="18" t="n"/>
      <c r="B349" s="18" t="n"/>
      <c r="C349" s="30" t="n"/>
      <c r="D349" s="30" t="n"/>
      <c r="E349" s="18" t="n"/>
      <c r="F349" s="18" t="n"/>
      <c r="G349" s="5" t="n"/>
    </row>
    <row r="350">
      <c r="A350" s="18" t="n"/>
      <c r="B350" s="18" t="n"/>
      <c r="C350" s="30" t="n"/>
      <c r="D350" s="30" t="n"/>
      <c r="E350" s="18" t="n"/>
      <c r="F350" s="18" t="n"/>
      <c r="G350" s="5" t="n"/>
    </row>
    <row r="351">
      <c r="A351" s="18" t="n"/>
      <c r="B351" s="18" t="n"/>
      <c r="C351" s="30" t="n"/>
      <c r="D351" s="30" t="n"/>
      <c r="E351" s="18" t="n"/>
      <c r="F351" s="18" t="n"/>
      <c r="G351" s="5" t="n"/>
    </row>
    <row r="352">
      <c r="A352" s="18" t="n"/>
      <c r="B352" s="18" t="n"/>
      <c r="C352" s="30" t="n"/>
      <c r="D352" s="30" t="n"/>
      <c r="E352" s="18" t="n"/>
      <c r="F352" s="18" t="n"/>
      <c r="G352" s="5" t="n"/>
    </row>
    <row r="353">
      <c r="A353" s="18" t="n"/>
      <c r="B353" s="18" t="n"/>
      <c r="C353" s="30" t="n"/>
      <c r="D353" s="30" t="n"/>
      <c r="E353" s="18" t="n"/>
      <c r="F353" s="18" t="n"/>
      <c r="G353" s="5" t="n"/>
    </row>
    <row r="354">
      <c r="A354" s="18" t="n"/>
      <c r="B354" s="18" t="n"/>
      <c r="C354" s="30" t="n"/>
      <c r="D354" s="30" t="n"/>
      <c r="E354" s="18" t="n"/>
      <c r="F354" s="18" t="n"/>
      <c r="G354" s="5" t="n"/>
    </row>
    <row r="355">
      <c r="A355" s="18" t="n"/>
      <c r="B355" s="18" t="n"/>
      <c r="C355" s="30" t="n"/>
      <c r="D355" s="30" t="n"/>
      <c r="E355" s="18" t="n"/>
      <c r="F355" s="18" t="n"/>
      <c r="G355" s="5" t="n"/>
    </row>
    <row r="356">
      <c r="A356" s="18" t="n"/>
      <c r="B356" s="18" t="n"/>
      <c r="C356" s="30" t="n"/>
      <c r="D356" s="30" t="n"/>
      <c r="E356" s="18" t="n"/>
      <c r="F356" s="18" t="n"/>
      <c r="G356" s="5" t="n"/>
    </row>
    <row r="357">
      <c r="A357" s="18" t="n"/>
      <c r="B357" s="18" t="n"/>
      <c r="C357" s="30" t="n"/>
      <c r="D357" s="30" t="n"/>
      <c r="E357" s="18" t="n"/>
      <c r="F357" s="18" t="n"/>
      <c r="G357" s="5" t="n"/>
    </row>
    <row r="358">
      <c r="A358" s="18" t="n"/>
      <c r="B358" s="18" t="n"/>
      <c r="C358" s="30" t="n"/>
      <c r="D358" s="30" t="n"/>
      <c r="E358" s="18" t="n"/>
      <c r="F358" s="18" t="n"/>
      <c r="G358" s="5" t="n"/>
    </row>
    <row r="359">
      <c r="A359" s="18" t="n"/>
      <c r="B359" s="18" t="n"/>
      <c r="C359" s="30" t="n"/>
      <c r="D359" s="30" t="n"/>
      <c r="E359" s="18" t="n"/>
      <c r="F359" s="18" t="n"/>
      <c r="G359" s="5" t="n"/>
    </row>
    <row r="360">
      <c r="A360" s="18" t="n"/>
      <c r="B360" s="18" t="n"/>
      <c r="C360" s="30" t="n"/>
      <c r="D360" s="30" t="n"/>
      <c r="E360" s="18" t="n"/>
      <c r="F360" s="18" t="n"/>
      <c r="G360" s="5" t="n"/>
    </row>
    <row r="361">
      <c r="A361" s="18" t="n"/>
      <c r="B361" s="18" t="n"/>
      <c r="C361" s="30" t="n"/>
      <c r="D361" s="30" t="n"/>
      <c r="E361" s="18" t="n"/>
      <c r="F361" s="18" t="n"/>
      <c r="G361" s="5" t="n"/>
    </row>
    <row r="362">
      <c r="A362" s="18" t="n"/>
      <c r="B362" s="18" t="n"/>
      <c r="C362" s="30" t="n"/>
      <c r="D362" s="30" t="n"/>
      <c r="E362" s="18" t="n"/>
      <c r="F362" s="18" t="n"/>
      <c r="G362" s="5" t="n"/>
    </row>
    <row r="363">
      <c r="A363" s="18" t="n"/>
      <c r="B363" s="18" t="n"/>
      <c r="C363" s="30" t="n"/>
      <c r="D363" s="30" t="n"/>
      <c r="E363" s="18" t="n"/>
      <c r="F363" s="18" t="n"/>
      <c r="G363" s="5" t="n"/>
    </row>
    <row r="364">
      <c r="A364" s="18" t="n"/>
      <c r="B364" s="18" t="n"/>
      <c r="C364" s="30" t="n"/>
      <c r="D364" s="30" t="n"/>
      <c r="E364" s="18" t="n"/>
      <c r="F364" s="18" t="n"/>
      <c r="G364" s="5" t="n"/>
    </row>
    <row r="365">
      <c r="A365" s="18" t="n"/>
      <c r="B365" s="18" t="n"/>
      <c r="C365" s="30" t="n"/>
      <c r="D365" s="30" t="n"/>
      <c r="E365" s="18" t="n"/>
      <c r="F365" s="18" t="n"/>
      <c r="G365" s="5" t="n"/>
    </row>
    <row r="366">
      <c r="A366" s="18" t="n"/>
      <c r="B366" s="18" t="n"/>
      <c r="C366" s="30" t="n"/>
      <c r="D366" s="30" t="n"/>
      <c r="E366" s="18" t="n"/>
      <c r="F366" s="18" t="n"/>
      <c r="G366" s="5" t="n"/>
    </row>
    <row r="367">
      <c r="A367" s="18" t="n"/>
      <c r="B367" s="18" t="n"/>
      <c r="C367" s="30" t="n"/>
      <c r="D367" s="30" t="n"/>
      <c r="E367" s="18" t="n"/>
      <c r="F367" s="18" t="n"/>
      <c r="G367" s="5" t="n"/>
    </row>
    <row r="368">
      <c r="A368" s="18" t="n"/>
      <c r="B368" s="18" t="n"/>
      <c r="C368" s="30" t="n"/>
      <c r="D368" s="30" t="n"/>
      <c r="E368" s="18" t="n"/>
      <c r="F368" s="18" t="n"/>
      <c r="G368" s="5" t="n"/>
    </row>
    <row r="369">
      <c r="A369" s="18" t="n"/>
      <c r="B369" s="18" t="n"/>
      <c r="C369" s="30" t="n"/>
      <c r="D369" s="30" t="n"/>
      <c r="E369" s="18" t="n"/>
      <c r="F369" s="18" t="n"/>
      <c r="G369" s="5" t="n"/>
    </row>
    <row r="370">
      <c r="A370" s="18" t="n"/>
      <c r="B370" s="18" t="n"/>
      <c r="C370" s="30" t="n"/>
      <c r="D370" s="30" t="n"/>
      <c r="E370" s="18" t="n"/>
      <c r="F370" s="18" t="n"/>
      <c r="G370" s="5" t="n"/>
    </row>
    <row r="371">
      <c r="A371" s="18" t="n"/>
      <c r="B371" s="18" t="n"/>
      <c r="C371" s="30" t="n"/>
      <c r="D371" s="30" t="n"/>
      <c r="E371" s="18" t="n"/>
      <c r="F371" s="18" t="n"/>
      <c r="G371" s="5" t="n"/>
    </row>
    <row r="372">
      <c r="A372" s="18" t="n"/>
      <c r="B372" s="18" t="n"/>
      <c r="C372" s="30" t="n"/>
      <c r="D372" s="30" t="n"/>
      <c r="E372" s="18" t="n"/>
      <c r="F372" s="18" t="n"/>
      <c r="G372" s="5" t="n"/>
    </row>
    <row r="373">
      <c r="A373" s="18" t="n"/>
      <c r="B373" s="18" t="n"/>
      <c r="C373" s="30" t="n"/>
      <c r="D373" s="30" t="n"/>
      <c r="E373" s="18" t="n"/>
      <c r="F373" s="18" t="n"/>
      <c r="G373" s="5" t="n"/>
    </row>
    <row r="374">
      <c r="A374" s="18" t="n"/>
      <c r="B374" s="18" t="n"/>
      <c r="C374" s="30" t="n"/>
      <c r="D374" s="30" t="n"/>
      <c r="E374" s="18" t="n"/>
      <c r="F374" s="18" t="n"/>
      <c r="G374" s="5" t="n"/>
    </row>
    <row r="375">
      <c r="A375" s="18" t="n"/>
      <c r="B375" s="18" t="n"/>
      <c r="C375" s="30" t="n"/>
      <c r="D375" s="30" t="n"/>
      <c r="E375" s="18" t="n"/>
      <c r="F375" s="18" t="n"/>
      <c r="G375" s="5" t="n"/>
    </row>
    <row r="376">
      <c r="A376" s="18" t="n"/>
      <c r="B376" s="18" t="n"/>
      <c r="C376" s="30" t="n"/>
      <c r="D376" s="30" t="n"/>
      <c r="E376" s="18" t="n"/>
      <c r="F376" s="18" t="n"/>
      <c r="G376" s="5" t="n"/>
    </row>
    <row r="377">
      <c r="A377" s="18" t="n"/>
      <c r="B377" s="18" t="n"/>
      <c r="C377" s="30" t="n"/>
      <c r="D377" s="30" t="n"/>
      <c r="E377" s="18" t="n"/>
      <c r="F377" s="18" t="n"/>
      <c r="G377" s="5" t="n"/>
    </row>
    <row r="378">
      <c r="A378" s="18" t="n"/>
      <c r="B378" s="18" t="n"/>
      <c r="C378" s="30" t="n"/>
      <c r="D378" s="30" t="n"/>
      <c r="E378" s="18" t="n"/>
      <c r="F378" s="18" t="n"/>
      <c r="G378" s="5" t="n"/>
    </row>
    <row r="379">
      <c r="A379" s="18" t="n"/>
      <c r="B379" s="18" t="n"/>
      <c r="C379" s="30" t="n"/>
      <c r="D379" s="30" t="n"/>
      <c r="E379" s="18" t="n"/>
      <c r="F379" s="18" t="n"/>
      <c r="G379" s="5" t="n"/>
    </row>
    <row r="380">
      <c r="A380" s="18" t="n"/>
      <c r="B380" s="18" t="n"/>
      <c r="C380" s="30" t="n"/>
      <c r="D380" s="30" t="n"/>
      <c r="E380" s="18" t="n"/>
      <c r="F380" s="18" t="n"/>
      <c r="G380" s="5" t="n"/>
    </row>
    <row r="381">
      <c r="A381" s="18" t="n"/>
      <c r="B381" s="18" t="n"/>
      <c r="C381" s="30" t="n"/>
      <c r="D381" s="30" t="n"/>
      <c r="E381" s="18" t="n"/>
      <c r="F381" s="18" t="n"/>
      <c r="G381" s="5" t="n"/>
    </row>
    <row r="382">
      <c r="A382" s="18" t="n"/>
      <c r="B382" s="18" t="n"/>
      <c r="C382" s="30" t="n"/>
      <c r="D382" s="30" t="n"/>
      <c r="E382" s="18" t="n"/>
      <c r="F382" s="18" t="n"/>
      <c r="G382" s="5" t="n"/>
    </row>
    <row r="383">
      <c r="A383" s="18" t="n"/>
      <c r="B383" s="18" t="n"/>
      <c r="C383" s="30" t="n"/>
      <c r="D383" s="30" t="n"/>
      <c r="E383" s="18" t="n"/>
      <c r="F383" s="18" t="n"/>
      <c r="G383" s="5" t="n"/>
    </row>
    <row r="384">
      <c r="A384" s="18" t="n"/>
      <c r="B384" s="18" t="n"/>
      <c r="C384" s="30" t="n"/>
      <c r="D384" s="30" t="n"/>
      <c r="E384" s="18" t="n"/>
      <c r="F384" s="18" t="n"/>
      <c r="G384" s="5" t="n"/>
    </row>
    <row r="385">
      <c r="A385" s="18" t="n"/>
      <c r="B385" s="18" t="n"/>
      <c r="C385" s="30" t="n"/>
      <c r="D385" s="30" t="n"/>
      <c r="E385" s="18" t="n"/>
      <c r="F385" s="18" t="n"/>
      <c r="G385" s="5" t="n"/>
    </row>
    <row r="386">
      <c r="A386" s="18" t="n"/>
      <c r="B386" s="18" t="n"/>
      <c r="C386" s="30" t="n"/>
      <c r="D386" s="30" t="n"/>
      <c r="E386" s="18" t="n"/>
      <c r="F386" s="18" t="n"/>
      <c r="G386" s="5" t="n"/>
    </row>
    <row r="387">
      <c r="A387" s="18" t="n"/>
      <c r="B387" s="18" t="n"/>
      <c r="C387" s="30" t="n"/>
      <c r="D387" s="30" t="n"/>
      <c r="E387" s="18" t="n"/>
      <c r="F387" s="18" t="n"/>
      <c r="G387" s="5" t="n"/>
    </row>
    <row r="388">
      <c r="A388" s="18" t="n"/>
      <c r="B388" s="18" t="n"/>
      <c r="C388" s="30" t="n"/>
      <c r="D388" s="30" t="n"/>
      <c r="E388" s="18" t="n"/>
      <c r="F388" s="18" t="n"/>
      <c r="G388" s="5" t="n"/>
    </row>
    <row r="389">
      <c r="A389" s="18" t="n"/>
      <c r="B389" s="18" t="n"/>
      <c r="C389" s="30" t="n"/>
      <c r="D389" s="30" t="n"/>
      <c r="E389" s="18" t="n"/>
      <c r="F389" s="18" t="n"/>
      <c r="G389" s="5" t="n"/>
    </row>
    <row r="390">
      <c r="A390" s="18" t="n"/>
      <c r="B390" s="18" t="n"/>
      <c r="C390" s="30" t="n"/>
      <c r="D390" s="30" t="n"/>
      <c r="E390" s="18" t="n"/>
      <c r="F390" s="18" t="n"/>
      <c r="G390" s="5" t="n"/>
    </row>
    <row r="391">
      <c r="A391" s="18" t="n"/>
      <c r="B391" s="18" t="n"/>
      <c r="C391" s="30" t="n"/>
      <c r="D391" s="30" t="n"/>
      <c r="E391" s="18" t="n"/>
      <c r="F391" s="18" t="n"/>
      <c r="G391" s="5" t="n"/>
    </row>
    <row r="392">
      <c r="A392" s="18" t="n"/>
      <c r="B392" s="18" t="n"/>
      <c r="C392" s="30" t="n"/>
      <c r="D392" s="30" t="n"/>
      <c r="E392" s="18" t="n"/>
      <c r="F392" s="18" t="n"/>
      <c r="G392" s="5" t="n"/>
    </row>
    <row r="393">
      <c r="A393" s="18" t="n"/>
      <c r="B393" s="18" t="n"/>
      <c r="C393" s="30" t="n"/>
      <c r="D393" s="30" t="n"/>
      <c r="E393" s="18" t="n"/>
      <c r="F393" s="18" t="n"/>
      <c r="G393" s="5" t="n"/>
    </row>
    <row r="394">
      <c r="A394" s="18" t="n"/>
      <c r="B394" s="18" t="n"/>
      <c r="C394" s="30" t="n"/>
      <c r="D394" s="30" t="n"/>
      <c r="E394" s="18" t="n"/>
      <c r="F394" s="18" t="n"/>
      <c r="G394" s="5" t="n"/>
    </row>
    <row r="395">
      <c r="A395" s="18" t="n"/>
      <c r="B395" s="18" t="n"/>
      <c r="C395" s="30" t="n"/>
      <c r="D395" s="30" t="n"/>
      <c r="E395" s="18" t="n"/>
      <c r="F395" s="18" t="n"/>
      <c r="G395" s="5" t="n"/>
    </row>
    <row r="396">
      <c r="A396" s="18" t="n"/>
      <c r="B396" s="18" t="n"/>
      <c r="C396" s="30" t="n"/>
      <c r="D396" s="30" t="n"/>
      <c r="E396" s="18" t="n"/>
      <c r="F396" s="18" t="n"/>
      <c r="G396" s="5" t="n"/>
    </row>
    <row r="397">
      <c r="A397" s="18" t="n"/>
      <c r="B397" s="18" t="n"/>
      <c r="C397" s="30" t="n"/>
      <c r="D397" s="30" t="n"/>
      <c r="E397" s="18" t="n"/>
      <c r="F397" s="18" t="n"/>
      <c r="G397" s="5" t="n"/>
    </row>
    <row r="398">
      <c r="A398" s="18" t="n"/>
      <c r="B398" s="18" t="n"/>
      <c r="C398" s="30" t="n"/>
      <c r="D398" s="30" t="n"/>
      <c r="E398" s="18" t="n"/>
      <c r="F398" s="18" t="n"/>
      <c r="G398" s="5" t="n"/>
    </row>
    <row r="399">
      <c r="A399" s="18" t="n"/>
      <c r="B399" s="18" t="n"/>
      <c r="C399" s="30" t="n"/>
      <c r="D399" s="30" t="n"/>
      <c r="E399" s="18" t="n"/>
      <c r="F399" s="18" t="n"/>
      <c r="G399" s="5" t="n"/>
    </row>
    <row r="400">
      <c r="A400" s="18" t="n"/>
      <c r="B400" s="18" t="n"/>
      <c r="C400" s="30" t="n"/>
      <c r="D400" s="30" t="n"/>
      <c r="E400" s="18" t="n"/>
      <c r="F400" s="18" t="n"/>
      <c r="G400" s="5" t="n"/>
    </row>
    <row r="401">
      <c r="A401" s="18" t="n"/>
      <c r="B401" s="18" t="n"/>
      <c r="C401" s="30" t="n"/>
      <c r="D401" s="30" t="n"/>
      <c r="E401" s="18" t="n"/>
      <c r="F401" s="18" t="n"/>
      <c r="G401" s="5" t="n"/>
    </row>
    <row r="402">
      <c r="A402" s="18" t="n"/>
      <c r="B402" s="18" t="n"/>
      <c r="C402" s="30" t="n"/>
      <c r="D402" s="30" t="n"/>
      <c r="E402" s="18" t="n"/>
      <c r="F402" s="18" t="n"/>
      <c r="G402" s="5" t="n"/>
    </row>
    <row r="403">
      <c r="A403" s="18" t="n"/>
      <c r="B403" s="18" t="n"/>
      <c r="C403" s="30" t="n"/>
      <c r="D403" s="30" t="n"/>
      <c r="E403" s="18" t="n"/>
      <c r="F403" s="18" t="n"/>
      <c r="G403" s="5" t="n"/>
    </row>
    <row r="404">
      <c r="A404" s="18" t="n"/>
      <c r="B404" s="18" t="n"/>
      <c r="C404" s="30" t="n"/>
      <c r="D404" s="30" t="n"/>
      <c r="E404" s="18" t="n"/>
      <c r="F404" s="18" t="n"/>
      <c r="G404" s="5" t="n"/>
    </row>
    <row r="405">
      <c r="A405" s="18" t="n"/>
      <c r="B405" s="18" t="n"/>
      <c r="C405" s="30" t="n"/>
      <c r="D405" s="30" t="n"/>
      <c r="E405" s="18" t="n"/>
      <c r="F405" s="18" t="n"/>
      <c r="G405" s="5" t="n"/>
    </row>
    <row r="406">
      <c r="A406" s="18" t="n"/>
      <c r="B406" s="18" t="n"/>
      <c r="C406" s="30" t="n"/>
      <c r="D406" s="30" t="n"/>
      <c r="E406" s="18" t="n"/>
      <c r="F406" s="18" t="n"/>
      <c r="G406" s="5" t="n"/>
    </row>
    <row r="407">
      <c r="A407" s="18" t="n"/>
      <c r="B407" s="18" t="n"/>
      <c r="C407" s="30" t="n"/>
      <c r="D407" s="30" t="n"/>
      <c r="E407" s="18" t="n"/>
      <c r="F407" s="18" t="n"/>
      <c r="G407" s="5" t="n"/>
    </row>
    <row r="408">
      <c r="A408" s="18" t="n"/>
      <c r="B408" s="18" t="n"/>
      <c r="C408" s="30" t="n"/>
      <c r="D408" s="30" t="n"/>
      <c r="E408" s="18" t="n"/>
      <c r="F408" s="18" t="n"/>
      <c r="G408" s="5" t="n"/>
    </row>
    <row r="409">
      <c r="A409" s="18" t="n"/>
      <c r="B409" s="18" t="n"/>
      <c r="C409" s="30" t="n"/>
      <c r="D409" s="30" t="n"/>
      <c r="E409" s="18" t="n"/>
      <c r="F409" s="18" t="n"/>
      <c r="G409" s="5" t="n"/>
    </row>
    <row r="410">
      <c r="A410" s="18" t="n"/>
      <c r="B410" s="18" t="n"/>
      <c r="C410" s="30" t="n"/>
      <c r="D410" s="30" t="n"/>
      <c r="E410" s="18" t="n"/>
      <c r="F410" s="18" t="n"/>
      <c r="G410" s="5" t="n"/>
    </row>
    <row r="411">
      <c r="A411" s="18" t="n"/>
      <c r="B411" s="18" t="n"/>
      <c r="C411" s="30" t="n"/>
      <c r="D411" s="30" t="n"/>
      <c r="E411" s="18" t="n"/>
      <c r="F411" s="18" t="n"/>
      <c r="G411" s="5" t="n"/>
    </row>
    <row r="412">
      <c r="A412" s="18" t="n"/>
      <c r="B412" s="18" t="n"/>
      <c r="C412" s="30" t="n"/>
      <c r="D412" s="30" t="n"/>
      <c r="E412" s="18" t="n"/>
      <c r="F412" s="18" t="n"/>
      <c r="G412" s="5" t="n"/>
    </row>
    <row r="413">
      <c r="A413" s="18" t="n"/>
      <c r="B413" s="18" t="n"/>
      <c r="C413" s="30" t="n"/>
      <c r="D413" s="30" t="n"/>
      <c r="E413" s="18" t="n"/>
      <c r="F413" s="18" t="n"/>
      <c r="G413" s="5" t="n"/>
    </row>
    <row r="414">
      <c r="A414" s="18" t="n"/>
      <c r="B414" s="18" t="n"/>
      <c r="C414" s="30" t="n"/>
      <c r="D414" s="30" t="n"/>
      <c r="E414" s="18" t="n"/>
      <c r="F414" s="18" t="n"/>
      <c r="G414" s="5" t="n"/>
    </row>
    <row r="415">
      <c r="A415" s="18" t="n"/>
      <c r="B415" s="18" t="n"/>
      <c r="C415" s="30" t="n"/>
      <c r="D415" s="30" t="n"/>
      <c r="E415" s="18" t="n"/>
      <c r="F415" s="18" t="n"/>
      <c r="G415" s="5" t="n"/>
    </row>
    <row r="416">
      <c r="A416" s="18" t="n"/>
      <c r="B416" s="18" t="n"/>
      <c r="C416" s="30" t="n"/>
      <c r="D416" s="30" t="n"/>
      <c r="E416" s="18" t="n"/>
      <c r="F416" s="18" t="n"/>
      <c r="G416" s="5" t="n"/>
    </row>
    <row r="417">
      <c r="A417" s="18" t="n"/>
      <c r="B417" s="18" t="n"/>
      <c r="C417" s="30" t="n"/>
      <c r="D417" s="30" t="n"/>
      <c r="E417" s="18" t="n"/>
      <c r="F417" s="18" t="n"/>
      <c r="G417" s="5" t="n"/>
    </row>
    <row r="418">
      <c r="A418" s="18" t="n"/>
      <c r="B418" s="18" t="n"/>
      <c r="C418" s="30" t="n"/>
      <c r="D418" s="30" t="n"/>
      <c r="E418" s="18" t="n"/>
      <c r="F418" s="18" t="n"/>
      <c r="G418" s="5" t="n"/>
    </row>
    <row r="419">
      <c r="A419" s="18" t="n"/>
      <c r="B419" s="18" t="n"/>
      <c r="C419" s="30" t="n"/>
      <c r="D419" s="30" t="n"/>
      <c r="E419" s="18" t="n"/>
      <c r="F419" s="18" t="n"/>
      <c r="G419" s="5" t="n"/>
    </row>
    <row r="420">
      <c r="A420" s="18" t="n"/>
      <c r="B420" s="18" t="n"/>
      <c r="C420" s="30" t="n"/>
      <c r="D420" s="30" t="n"/>
      <c r="E420" s="18" t="n"/>
      <c r="F420" s="18" t="n"/>
      <c r="G420" s="5" t="n"/>
    </row>
    <row r="421">
      <c r="A421" s="18" t="n"/>
      <c r="B421" s="18" t="n"/>
      <c r="C421" s="30" t="n"/>
      <c r="D421" s="30" t="n"/>
      <c r="E421" s="18" t="n"/>
      <c r="F421" s="18" t="n"/>
      <c r="G421" s="5" t="n"/>
    </row>
    <row r="422">
      <c r="A422" s="18" t="n"/>
      <c r="B422" s="18" t="n"/>
      <c r="C422" s="30" t="n"/>
      <c r="D422" s="30" t="n"/>
      <c r="E422" s="18" t="n"/>
      <c r="F422" s="18" t="n"/>
      <c r="G422" s="5" t="n"/>
    </row>
    <row r="423">
      <c r="A423" s="18" t="n"/>
      <c r="B423" s="18" t="n"/>
      <c r="C423" s="30" t="n"/>
      <c r="D423" s="30" t="n"/>
      <c r="E423" s="18" t="n"/>
      <c r="F423" s="18" t="n"/>
      <c r="G423" s="5" t="n"/>
    </row>
    <row r="424">
      <c r="A424" s="18" t="n"/>
      <c r="B424" s="18" t="n"/>
      <c r="C424" s="30" t="n"/>
      <c r="D424" s="30" t="n"/>
      <c r="E424" s="18" t="n"/>
      <c r="F424" s="18" t="n"/>
      <c r="G424" s="5" t="n"/>
    </row>
    <row r="425">
      <c r="A425" s="18" t="n"/>
      <c r="B425" s="18" t="n"/>
      <c r="C425" s="30" t="n"/>
      <c r="D425" s="30" t="n"/>
      <c r="E425" s="18" t="n"/>
      <c r="F425" s="18" t="n"/>
      <c r="G425" s="5" t="n"/>
    </row>
    <row r="426">
      <c r="A426" s="18" t="n"/>
      <c r="B426" s="18" t="n"/>
      <c r="C426" s="30" t="n"/>
      <c r="D426" s="30" t="n"/>
      <c r="E426" s="18" t="n"/>
      <c r="F426" s="18" t="n"/>
      <c r="G426" s="5" t="n"/>
    </row>
    <row r="427">
      <c r="A427" s="18" t="n"/>
      <c r="B427" s="18" t="n"/>
      <c r="C427" s="30" t="n"/>
      <c r="D427" s="30" t="n"/>
      <c r="E427" s="18" t="n"/>
      <c r="F427" s="18" t="n"/>
      <c r="G427" s="5" t="n"/>
    </row>
    <row r="428">
      <c r="A428" s="18" t="n"/>
      <c r="B428" s="18" t="n"/>
      <c r="C428" s="30" t="n"/>
      <c r="D428" s="30" t="n"/>
      <c r="E428" s="18" t="n"/>
      <c r="F428" s="18" t="n"/>
      <c r="G428" s="5" t="n"/>
    </row>
    <row r="429">
      <c r="A429" s="18" t="n"/>
      <c r="B429" s="18" t="n"/>
      <c r="C429" s="30" t="n"/>
      <c r="D429" s="30" t="n"/>
      <c r="E429" s="18" t="n"/>
      <c r="F429" s="18" t="n"/>
      <c r="G429" s="5" t="n"/>
    </row>
    <row r="430">
      <c r="A430" s="18" t="n"/>
      <c r="B430" s="18" t="n"/>
      <c r="C430" s="30" t="n"/>
      <c r="D430" s="30" t="n"/>
      <c r="E430" s="18" t="n"/>
      <c r="F430" s="18" t="n"/>
      <c r="G430" s="5" t="n"/>
    </row>
    <row r="431">
      <c r="A431" s="18" t="n"/>
      <c r="B431" s="18" t="n"/>
      <c r="C431" s="30" t="n"/>
      <c r="D431" s="30" t="n"/>
      <c r="E431" s="18" t="n"/>
      <c r="F431" s="18" t="n"/>
      <c r="G431" s="5" t="n"/>
    </row>
    <row r="432">
      <c r="A432" s="18" t="n"/>
      <c r="B432" s="18" t="n"/>
      <c r="C432" s="30" t="n"/>
      <c r="D432" s="30" t="n"/>
      <c r="E432" s="18" t="n"/>
      <c r="F432" s="18" t="n"/>
      <c r="G432" s="5" t="n"/>
    </row>
    <row r="433">
      <c r="A433" s="18" t="n"/>
      <c r="B433" s="18" t="n"/>
      <c r="C433" s="30" t="n"/>
      <c r="D433" s="30" t="n"/>
      <c r="E433" s="18" t="n"/>
      <c r="F433" s="18" t="n"/>
      <c r="G433" s="5" t="n"/>
    </row>
    <row r="434">
      <c r="A434" s="18" t="n"/>
      <c r="B434" s="18" t="n"/>
      <c r="C434" s="30" t="n"/>
      <c r="D434" s="30" t="n"/>
      <c r="E434" s="18" t="n"/>
      <c r="F434" s="18" t="n"/>
      <c r="G434" s="5" t="n"/>
    </row>
    <row r="435">
      <c r="A435" s="18" t="n"/>
      <c r="B435" s="18" t="n"/>
      <c r="C435" s="30" t="n"/>
      <c r="D435" s="30" t="n"/>
      <c r="E435" s="18" t="n"/>
      <c r="F435" s="18" t="n"/>
      <c r="G435" s="5" t="n"/>
    </row>
    <row r="436">
      <c r="A436" s="18" t="n"/>
      <c r="B436" s="18" t="n"/>
      <c r="C436" s="30" t="n"/>
      <c r="D436" s="30" t="n"/>
      <c r="E436" s="18" t="n"/>
      <c r="F436" s="18" t="n"/>
      <c r="G436" s="5" t="n"/>
    </row>
    <row r="437">
      <c r="A437" s="18" t="n"/>
      <c r="B437" s="18" t="n"/>
      <c r="C437" s="30" t="n"/>
      <c r="D437" s="30" t="n"/>
      <c r="E437" s="18" t="n"/>
      <c r="F437" s="18" t="n"/>
      <c r="G437" s="5" t="n"/>
    </row>
    <row r="438">
      <c r="A438" s="18" t="n"/>
      <c r="B438" s="18" t="n"/>
      <c r="C438" s="30" t="n"/>
      <c r="D438" s="30" t="n"/>
      <c r="E438" s="18" t="n"/>
      <c r="F438" s="18" t="n"/>
      <c r="G438" s="5" t="n"/>
    </row>
    <row r="439">
      <c r="A439" s="18" t="n"/>
      <c r="B439" s="18" t="n"/>
      <c r="C439" s="30" t="n"/>
      <c r="D439" s="30" t="n"/>
      <c r="E439" s="18" t="n"/>
      <c r="F439" s="18" t="n"/>
      <c r="G439" s="5" t="n"/>
    </row>
    <row r="440">
      <c r="A440" s="18" t="n"/>
      <c r="B440" s="18" t="n"/>
      <c r="C440" s="30" t="n"/>
      <c r="D440" s="30" t="n"/>
      <c r="E440" s="18" t="n"/>
      <c r="F440" s="18" t="n"/>
      <c r="G440" s="5" t="n"/>
    </row>
    <row r="441">
      <c r="A441" s="18" t="n"/>
      <c r="B441" s="18" t="n"/>
      <c r="C441" s="30" t="n"/>
      <c r="D441" s="30" t="n"/>
      <c r="E441" s="18" t="n"/>
      <c r="F441" s="18" t="n"/>
      <c r="G441" s="5" t="n"/>
    </row>
    <row r="442">
      <c r="A442" s="18" t="n"/>
      <c r="B442" s="18" t="n"/>
      <c r="C442" s="30" t="n"/>
      <c r="D442" s="30" t="n"/>
      <c r="E442" s="18" t="n"/>
      <c r="F442" s="18" t="n"/>
      <c r="G442" s="5" t="n"/>
    </row>
    <row r="443">
      <c r="A443" s="18" t="n"/>
      <c r="B443" s="18" t="n"/>
      <c r="C443" s="30" t="n"/>
      <c r="D443" s="30" t="n"/>
      <c r="E443" s="18" t="n"/>
      <c r="F443" s="18" t="n"/>
      <c r="G443" s="5" t="n"/>
    </row>
    <row r="444">
      <c r="A444" s="18" t="n"/>
      <c r="B444" s="18" t="n"/>
      <c r="C444" s="30" t="n"/>
      <c r="D444" s="30" t="n"/>
      <c r="E444" s="18" t="n"/>
      <c r="F444" s="18" t="n"/>
      <c r="G444" s="5" t="n"/>
    </row>
    <row r="445">
      <c r="A445" s="18" t="n"/>
      <c r="B445" s="18" t="n"/>
      <c r="C445" s="30" t="n"/>
      <c r="D445" s="30" t="n"/>
      <c r="E445" s="18" t="n"/>
      <c r="F445" s="18" t="n"/>
      <c r="G445" s="5" t="n"/>
    </row>
    <row r="446">
      <c r="A446" s="18" t="n"/>
      <c r="B446" s="18" t="n"/>
      <c r="C446" s="30" t="n"/>
      <c r="D446" s="30" t="n"/>
      <c r="E446" s="18" t="n"/>
      <c r="F446" s="18" t="n"/>
      <c r="G446" s="5" t="n"/>
    </row>
    <row r="447">
      <c r="A447" s="18" t="n"/>
      <c r="B447" s="18" t="n"/>
      <c r="C447" s="30" t="n"/>
      <c r="D447" s="30" t="n"/>
      <c r="E447" s="18" t="n"/>
      <c r="F447" s="18" t="n"/>
      <c r="G447" s="5" t="n"/>
    </row>
    <row r="448">
      <c r="A448" s="18" t="n"/>
      <c r="B448" s="18" t="n"/>
      <c r="C448" s="30" t="n"/>
      <c r="D448" s="30" t="n"/>
      <c r="E448" s="18" t="n"/>
      <c r="F448" s="18" t="n"/>
      <c r="G448" s="5" t="n"/>
    </row>
    <row r="449">
      <c r="A449" s="18" t="n"/>
      <c r="B449" s="18" t="n"/>
      <c r="C449" s="30" t="n"/>
      <c r="D449" s="30" t="n"/>
      <c r="E449" s="18" t="n"/>
      <c r="F449" s="18" t="n"/>
      <c r="G449" s="5" t="n"/>
    </row>
    <row r="450">
      <c r="A450" s="18" t="n"/>
      <c r="B450" s="18" t="n"/>
      <c r="C450" s="30" t="n"/>
      <c r="D450" s="30" t="n"/>
      <c r="E450" s="18" t="n"/>
      <c r="F450" s="18" t="n"/>
      <c r="G450" s="5" t="n"/>
    </row>
    <row r="451">
      <c r="A451" s="18" t="n"/>
      <c r="B451" s="18" t="n"/>
      <c r="C451" s="30" t="n"/>
      <c r="D451" s="30" t="n"/>
      <c r="E451" s="18" t="n"/>
      <c r="F451" s="18" t="n"/>
      <c r="G451" s="5" t="n"/>
    </row>
    <row r="452">
      <c r="A452" s="18" t="n"/>
      <c r="B452" s="18" t="n"/>
      <c r="C452" s="30" t="n"/>
      <c r="D452" s="30" t="n"/>
      <c r="E452" s="18" t="n"/>
      <c r="F452" s="18" t="n"/>
      <c r="G452" s="5" t="n"/>
    </row>
    <row r="453">
      <c r="A453" s="18" t="n"/>
      <c r="B453" s="18" t="n"/>
      <c r="C453" s="30" t="n"/>
      <c r="D453" s="30" t="n"/>
      <c r="E453" s="18" t="n"/>
      <c r="F453" s="18" t="n"/>
      <c r="G453" s="5" t="n"/>
    </row>
    <row r="454">
      <c r="A454" s="18" t="n"/>
      <c r="B454" s="18" t="n"/>
      <c r="C454" s="30" t="n"/>
      <c r="D454" s="30" t="n"/>
      <c r="E454" s="18" t="n"/>
      <c r="F454" s="18" t="n"/>
      <c r="G454" s="5" t="n"/>
    </row>
    <row r="455">
      <c r="A455" s="18" t="n"/>
      <c r="B455" s="18" t="n"/>
      <c r="C455" s="30" t="n"/>
      <c r="D455" s="30" t="n"/>
      <c r="E455" s="18" t="n"/>
      <c r="F455" s="18" t="n"/>
      <c r="G455" s="5" t="n"/>
    </row>
    <row r="456">
      <c r="A456" s="18" t="n"/>
      <c r="B456" s="18" t="n"/>
      <c r="C456" s="30" t="n"/>
      <c r="D456" s="30" t="n"/>
      <c r="E456" s="18" t="n"/>
      <c r="F456" s="18" t="n"/>
      <c r="G456" s="5" t="n"/>
    </row>
    <row r="457">
      <c r="A457" s="18" t="n"/>
      <c r="B457" s="18" t="n"/>
      <c r="C457" s="30" t="n"/>
      <c r="D457" s="30" t="n"/>
      <c r="E457" s="18" t="n"/>
      <c r="F457" s="18" t="n"/>
      <c r="G457" s="5" t="n"/>
    </row>
    <row r="458">
      <c r="A458" s="18" t="n"/>
      <c r="B458" s="18" t="n"/>
      <c r="C458" s="30" t="n"/>
      <c r="D458" s="30" t="n"/>
      <c r="E458" s="18" t="n"/>
      <c r="F458" s="18" t="n"/>
      <c r="G458" s="5" t="n"/>
    </row>
    <row r="459">
      <c r="A459" s="18" t="n"/>
      <c r="B459" s="18" t="n"/>
      <c r="C459" s="30" t="n"/>
      <c r="D459" s="30" t="n"/>
      <c r="E459" s="18" t="n"/>
      <c r="F459" s="18" t="n"/>
      <c r="G459" s="5" t="n"/>
    </row>
    <row r="460">
      <c r="A460" s="18" t="n"/>
      <c r="B460" s="18" t="n"/>
      <c r="C460" s="30" t="n"/>
      <c r="D460" s="30" t="n"/>
      <c r="E460" s="18" t="n"/>
      <c r="F460" s="18" t="n"/>
      <c r="G460" s="5" t="n"/>
    </row>
    <row r="461">
      <c r="A461" s="18" t="n"/>
      <c r="B461" s="18" t="n"/>
      <c r="C461" s="30" t="n"/>
      <c r="D461" s="30" t="n"/>
      <c r="E461" s="18" t="n"/>
      <c r="F461" s="18" t="n"/>
      <c r="G461" s="5" t="n"/>
    </row>
    <row r="462">
      <c r="A462" s="18" t="n"/>
      <c r="B462" s="18" t="n"/>
      <c r="C462" s="30" t="n"/>
      <c r="D462" s="30" t="n"/>
      <c r="E462" s="18" t="n"/>
      <c r="F462" s="18" t="n"/>
      <c r="G462" s="5" t="n"/>
    </row>
    <row r="463">
      <c r="A463" s="18" t="n"/>
      <c r="B463" s="18" t="n"/>
      <c r="C463" s="30" t="n"/>
      <c r="D463" s="30" t="n"/>
      <c r="E463" s="18" t="n"/>
      <c r="F463" s="18" t="n"/>
      <c r="G463" s="5" t="n"/>
    </row>
    <row r="464">
      <c r="A464" s="18" t="n"/>
      <c r="B464" s="18" t="n"/>
      <c r="C464" s="30" t="n"/>
      <c r="D464" s="30" t="n"/>
      <c r="E464" s="18" t="n"/>
      <c r="F464" s="18" t="n"/>
      <c r="G464" s="5" t="n"/>
    </row>
    <row r="465">
      <c r="A465" s="18" t="n"/>
      <c r="B465" s="18" t="n"/>
      <c r="C465" s="30" t="n"/>
      <c r="D465" s="30" t="n"/>
      <c r="E465" s="18" t="n"/>
      <c r="F465" s="18" t="n"/>
      <c r="G465" s="5" t="n"/>
    </row>
    <row r="466">
      <c r="A466" s="18" t="n"/>
      <c r="B466" s="18" t="n"/>
      <c r="C466" s="30" t="n"/>
      <c r="D466" s="30" t="n"/>
      <c r="E466" s="18" t="n"/>
      <c r="F466" s="18" t="n"/>
      <c r="G466" s="5" t="n"/>
    </row>
    <row r="467">
      <c r="A467" s="18" t="n"/>
      <c r="B467" s="18" t="n"/>
      <c r="C467" s="30" t="n"/>
      <c r="D467" s="30" t="n"/>
      <c r="E467" s="18" t="n"/>
      <c r="F467" s="18" t="n"/>
      <c r="G467" s="5" t="n"/>
    </row>
    <row r="468">
      <c r="A468" s="18" t="n"/>
      <c r="B468" s="18" t="n"/>
      <c r="C468" s="30" t="n"/>
      <c r="D468" s="30" t="n"/>
      <c r="E468" s="18" t="n"/>
      <c r="F468" s="18" t="n"/>
      <c r="G468" s="5" t="n"/>
    </row>
    <row r="469">
      <c r="A469" s="18" t="n"/>
      <c r="B469" s="18" t="n"/>
      <c r="C469" s="30" t="n"/>
      <c r="D469" s="30" t="n"/>
      <c r="E469" s="18" t="n"/>
      <c r="F469" s="18" t="n"/>
      <c r="G469" s="5" t="n"/>
    </row>
    <row r="470">
      <c r="A470" s="18" t="n"/>
      <c r="B470" s="18" t="n"/>
      <c r="C470" s="30" t="n"/>
      <c r="D470" s="30" t="n"/>
      <c r="E470" s="18" t="n"/>
      <c r="F470" s="18" t="n"/>
      <c r="G470" s="5" t="n"/>
    </row>
    <row r="471">
      <c r="A471" s="18" t="n"/>
      <c r="B471" s="18" t="n"/>
      <c r="C471" s="30" t="n"/>
      <c r="D471" s="30" t="n"/>
      <c r="E471" s="18" t="n"/>
      <c r="F471" s="18" t="n"/>
      <c r="G471" s="5" t="n"/>
    </row>
    <row r="472">
      <c r="A472" s="18" t="n"/>
      <c r="B472" s="18" t="n"/>
      <c r="C472" s="30" t="n"/>
      <c r="D472" s="30" t="n"/>
      <c r="E472" s="18" t="n"/>
      <c r="F472" s="18" t="n"/>
      <c r="G472" s="5" t="n"/>
    </row>
    <row r="473">
      <c r="A473" s="18" t="n"/>
      <c r="B473" s="18" t="n"/>
      <c r="C473" s="30" t="n"/>
      <c r="D473" s="30" t="n"/>
      <c r="E473" s="18" t="n"/>
      <c r="F473" s="18" t="n"/>
      <c r="G473" s="5" t="n"/>
    </row>
    <row r="474">
      <c r="A474" s="18" t="n"/>
      <c r="B474" s="18" t="n"/>
      <c r="C474" s="30" t="n"/>
      <c r="D474" s="30" t="n"/>
      <c r="E474" s="18" t="n"/>
      <c r="F474" s="18" t="n"/>
      <c r="G474" s="5" t="n"/>
    </row>
    <row r="475">
      <c r="A475" s="18" t="n"/>
      <c r="B475" s="18" t="n"/>
      <c r="C475" s="30" t="n"/>
      <c r="D475" s="30" t="n"/>
      <c r="E475" s="18" t="n"/>
      <c r="F475" s="18" t="n"/>
      <c r="G475" s="5" t="n"/>
    </row>
    <row r="476">
      <c r="A476" s="18" t="n"/>
      <c r="B476" s="18" t="n"/>
      <c r="C476" s="30" t="n"/>
      <c r="D476" s="30" t="n"/>
      <c r="E476" s="18" t="n"/>
      <c r="F476" s="18" t="n"/>
      <c r="G476" s="5" t="n"/>
    </row>
    <row r="477">
      <c r="A477" s="18" t="n"/>
      <c r="B477" s="18" t="n"/>
      <c r="C477" s="30" t="n"/>
      <c r="D477" s="30" t="n"/>
      <c r="E477" s="18" t="n"/>
      <c r="F477" s="18" t="n"/>
      <c r="G477" s="5" t="n"/>
    </row>
    <row r="478">
      <c r="A478" s="18" t="n"/>
      <c r="B478" s="18" t="n"/>
      <c r="C478" s="30" t="n"/>
      <c r="D478" s="30" t="n"/>
      <c r="E478" s="18" t="n"/>
      <c r="F478" s="18" t="n"/>
      <c r="G478" s="5" t="n"/>
    </row>
    <row r="479">
      <c r="A479" s="18" t="n"/>
      <c r="B479" s="18" t="n"/>
      <c r="C479" s="30" t="n"/>
      <c r="D479" s="30" t="n"/>
      <c r="E479" s="18" t="n"/>
      <c r="F479" s="18" t="n"/>
      <c r="G479" s="5" t="n"/>
    </row>
    <row r="480">
      <c r="A480" s="18" t="n"/>
      <c r="B480" s="18" t="n"/>
      <c r="C480" s="30" t="n"/>
      <c r="D480" s="30" t="n"/>
      <c r="E480" s="18" t="n"/>
      <c r="F480" s="18" t="n"/>
      <c r="G480" s="5" t="n"/>
    </row>
    <row r="481">
      <c r="A481" s="18" t="n"/>
      <c r="B481" s="18" t="n"/>
      <c r="C481" s="30" t="n"/>
      <c r="D481" s="30" t="n"/>
      <c r="E481" s="18" t="n"/>
      <c r="F481" s="18" t="n"/>
      <c r="G481" s="5" t="n"/>
    </row>
    <row r="482">
      <c r="A482" s="18" t="n"/>
      <c r="B482" s="18" t="n"/>
      <c r="C482" s="30" t="n"/>
      <c r="D482" s="30" t="n"/>
      <c r="E482" s="18" t="n"/>
      <c r="F482" s="18" t="n"/>
      <c r="G482" s="5" t="n"/>
    </row>
    <row r="483">
      <c r="A483" s="18" t="n"/>
      <c r="B483" s="18" t="n"/>
      <c r="C483" s="30" t="n"/>
      <c r="D483" s="30" t="n"/>
      <c r="E483" s="18" t="n"/>
      <c r="F483" s="18" t="n"/>
      <c r="G483" s="5" t="n"/>
    </row>
    <row r="484">
      <c r="A484" s="18" t="n"/>
      <c r="B484" s="18" t="n"/>
      <c r="C484" s="30" t="n"/>
      <c r="D484" s="30" t="n"/>
      <c r="E484" s="18" t="n"/>
      <c r="F484" s="18" t="n"/>
      <c r="G484" s="5" t="n"/>
    </row>
    <row r="485">
      <c r="A485" s="18" t="n"/>
      <c r="B485" s="18" t="n"/>
      <c r="C485" s="30" t="n"/>
      <c r="D485" s="30" t="n"/>
      <c r="E485" s="18" t="n"/>
      <c r="F485" s="18" t="n"/>
      <c r="G485" s="5" t="n"/>
    </row>
    <row r="486">
      <c r="A486" s="18" t="n"/>
      <c r="B486" s="18" t="n"/>
      <c r="C486" s="30" t="n"/>
      <c r="D486" s="30" t="n"/>
      <c r="E486" s="18" t="n"/>
      <c r="F486" s="18" t="n"/>
      <c r="G486" s="5" t="n"/>
    </row>
    <row r="487">
      <c r="A487" s="18" t="n"/>
      <c r="B487" s="18" t="n"/>
      <c r="C487" s="30" t="n"/>
      <c r="D487" s="30" t="n"/>
      <c r="E487" s="18" t="n"/>
      <c r="F487" s="18" t="n"/>
      <c r="G487" s="5" t="n"/>
    </row>
    <row r="488">
      <c r="A488" s="18" t="n"/>
      <c r="B488" s="18" t="n"/>
      <c r="C488" s="30" t="n"/>
      <c r="D488" s="30" t="n"/>
      <c r="E488" s="18" t="n"/>
      <c r="F488" s="18" t="n"/>
      <c r="G488" s="5" t="n"/>
    </row>
    <row r="489">
      <c r="A489" s="18" t="n"/>
      <c r="B489" s="18" t="n"/>
      <c r="C489" s="30" t="n"/>
      <c r="D489" s="30" t="n"/>
      <c r="E489" s="18" t="n"/>
      <c r="F489" s="18" t="n"/>
      <c r="G489" s="5" t="n"/>
    </row>
    <row r="490">
      <c r="A490" s="18" t="n"/>
      <c r="B490" s="18" t="n"/>
      <c r="C490" s="30" t="n"/>
      <c r="D490" s="30" t="n"/>
      <c r="E490" s="18" t="n"/>
      <c r="F490" s="18" t="n"/>
      <c r="G490" s="5" t="n"/>
    </row>
    <row r="491">
      <c r="A491" s="18" t="n"/>
      <c r="B491" s="18" t="n"/>
      <c r="C491" s="30" t="n"/>
      <c r="D491" s="30" t="n"/>
      <c r="E491" s="18" t="n"/>
      <c r="F491" s="18" t="n"/>
      <c r="G491" s="5" t="n"/>
    </row>
    <row r="492">
      <c r="A492" s="18" t="n"/>
      <c r="B492" s="18" t="n"/>
      <c r="C492" s="30" t="n"/>
      <c r="D492" s="30" t="n"/>
      <c r="E492" s="18" t="n"/>
      <c r="F492" s="18" t="n"/>
      <c r="G492" s="5" t="n"/>
    </row>
    <row r="493">
      <c r="A493" s="18" t="n"/>
      <c r="B493" s="18" t="n"/>
      <c r="C493" s="30" t="n"/>
      <c r="D493" s="30" t="n"/>
      <c r="E493" s="18" t="n"/>
      <c r="F493" s="18" t="n"/>
      <c r="G493" s="5" t="n"/>
    </row>
    <row r="494">
      <c r="A494" s="18" t="n"/>
      <c r="B494" s="18" t="n"/>
      <c r="C494" s="30" t="n"/>
      <c r="D494" s="30" t="n"/>
      <c r="E494" s="18" t="n"/>
      <c r="F494" s="18" t="n"/>
      <c r="G494" s="5" t="n"/>
    </row>
    <row r="495">
      <c r="A495" s="18" t="n"/>
      <c r="B495" s="18" t="n"/>
      <c r="C495" s="30" t="n"/>
      <c r="D495" s="30" t="n"/>
      <c r="E495" s="18" t="n"/>
      <c r="F495" s="18" t="n"/>
      <c r="G495" s="5" t="n"/>
    </row>
    <row r="496">
      <c r="A496" s="18" t="n"/>
      <c r="B496" s="18" t="n"/>
      <c r="C496" s="30" t="n"/>
      <c r="D496" s="30" t="n"/>
      <c r="E496" s="18" t="n"/>
      <c r="F496" s="18" t="n"/>
      <c r="G496" s="5" t="n"/>
    </row>
    <row r="497">
      <c r="A497" s="18" t="n"/>
      <c r="B497" s="18" t="n"/>
      <c r="C497" s="30" t="n"/>
      <c r="D497" s="30" t="n"/>
      <c r="E497" s="18" t="n"/>
      <c r="F497" s="18" t="n"/>
      <c r="G497" s="5" t="n"/>
    </row>
    <row r="498">
      <c r="A498" s="18" t="n"/>
      <c r="B498" s="18" t="n"/>
      <c r="C498" s="30" t="n"/>
      <c r="D498" s="30" t="n"/>
      <c r="E498" s="18" t="n"/>
      <c r="F498" s="18" t="n"/>
      <c r="G498" s="5" t="n"/>
    </row>
    <row r="499">
      <c r="A499" s="18" t="n"/>
      <c r="B499" s="18" t="n"/>
      <c r="C499" s="30" t="n"/>
      <c r="D499" s="30" t="n"/>
      <c r="E499" s="18" t="n"/>
      <c r="F499" s="18" t="n"/>
      <c r="G499" s="5" t="n"/>
    </row>
    <row r="500">
      <c r="A500" s="18" t="n"/>
      <c r="B500" s="18" t="n"/>
      <c r="C500" s="30" t="n"/>
      <c r="D500" s="30" t="n"/>
      <c r="E500" s="18" t="n"/>
      <c r="F500" s="18" t="n"/>
      <c r="G500" s="5" t="n"/>
    </row>
    <row r="501">
      <c r="A501" s="18" t="n"/>
      <c r="B501" s="18" t="n"/>
      <c r="C501" s="30" t="n"/>
      <c r="D501" s="30" t="n"/>
      <c r="E501" s="18" t="n"/>
      <c r="F501" s="18" t="n"/>
      <c r="G501" s="5" t="n"/>
    </row>
  </sheetData>
  <conditionalFormatting sqref="A2:A501">
    <cfRule type="expression" priority="1" dxfId="4">
      <formula>AND($A2&lt;&gt;"",COUNTIF($A$2:$A$501,$A2)&gt;1)</formula>
    </cfRule>
  </conditionalFormatting>
  <conditionalFormatting sqref="A2:G501">
    <cfRule type="expression" priority="10" dxfId="3">
      <formula>MOD(ROW(),2)=0</formula>
    </cfRule>
  </conditionalFormatting>
  <pageMargins left="0.75" right="0.75" top="1" bottom="1" header="0.5" footer="0.5"/>
</worksheet>
</file>

<file path=xl/worksheets/sheet8.xml><?xml version="1.0" encoding="utf-8"?>
<worksheet xmlns="http://schemas.openxmlformats.org/spreadsheetml/2006/main">
  <sheetPr>
    <tabColor rgb="00C55A11"/>
    <outlinePr summaryBelow="1" summaryRight="1"/>
    <pageSetUpPr fitToPage="1"/>
  </sheetPr>
  <dimension ref="A1:M2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1" customWidth="1" min="3" max="3"/>
    <col width="15" customWidth="1" min="4" max="4"/>
    <col width="13" customWidth="1" min="5" max="5"/>
    <col width="10" customWidth="1" min="6" max="6"/>
    <col width="13" customWidth="1" min="7" max="7"/>
    <col width="13" customWidth="1" min="8" max="8"/>
    <col width="15" customWidth="1" min="9" max="9"/>
    <col width="13" customWidth="1" min="10" max="10"/>
    <col width="13" customWidth="1" min="11" max="11"/>
    <col width="15" customWidth="1" min="12" max="12"/>
    <col width="10" customWidth="1" min="13" max="13"/>
  </cols>
  <sheetData>
    <row r="1" ht="30" customHeight="1">
      <c r="A1" s="7" t="inlineStr">
        <is>
          <t>WHAT'S STILL MISSING</t>
        </is>
      </c>
    </row>
    <row r="2">
      <c r="A2" s="8" t="inlineStr">
        <is>
          <t>Updates automatically. MISSING = nothing entered yet for that builder. Nothing to type on this tab - fill gaps in on the green tabs.</t>
        </is>
      </c>
    </row>
    <row r="4" ht="28" customHeight="1">
      <c r="A4" s="17" t="inlineStr">
        <is>
          <t>Builder</t>
        </is>
      </c>
      <c r="B4" s="17" t="inlineStr">
        <is>
          <t>Title Company</t>
        </is>
      </c>
      <c r="C4" s="17" t="inlineStr">
        <is>
          <t>Dropbox</t>
        </is>
      </c>
      <c r="D4" s="17" t="inlineStr">
        <is>
          <t>Concession Terms</t>
        </is>
      </c>
      <c r="E4" s="17" t="inlineStr">
        <is>
          <t>Allowed Uses</t>
        </is>
      </c>
      <c r="F4" s="17" t="inlineStr">
        <is>
          <t>Owner</t>
        </is>
      </c>
      <c r="G4" s="17" t="inlineStr">
        <is>
          <t>Listing Agent</t>
        </is>
      </c>
      <c r="H4" s="17" t="inlineStr">
        <is>
          <t>Builder Rep</t>
        </is>
      </c>
      <c r="I4" s="17" t="inlineStr">
        <is>
          <t>Builder Docs POC</t>
        </is>
      </c>
      <c r="J4" s="17" t="inlineStr">
        <is>
          <t>Appraisal POC</t>
        </is>
      </c>
      <c r="K4" s="17" t="inlineStr">
        <is>
          <t>Escrow Agent</t>
        </is>
      </c>
      <c r="L4" s="17" t="inlineStr">
        <is>
          <t>Escrow Assistant</t>
        </is>
      </c>
      <c r="M4" s="17" t="inlineStr">
        <is>
          <t># Missing</t>
        </is>
      </c>
    </row>
    <row r="5">
      <c r="A5" s="18">
        <f>IF(Builders!$A2="","",Builders!$A2)</f>
        <v/>
      </c>
      <c r="B5" s="31">
        <f>IF($A5="","",IF(Builders!$B2="","MISSING","OK"))</f>
        <v/>
      </c>
      <c r="C5" s="31">
        <f>IF($A5="","",IF(Builders!$C2="","MISSING","OK"))</f>
        <v/>
      </c>
      <c r="D5" s="31">
        <f>IF($A5="","",IF(Builders!$D2="","MISSING","OK"))</f>
        <v/>
      </c>
      <c r="E5" s="31">
        <f>IF($A5="","",IF(Builders!$F2="","MISSING","OK"))</f>
        <v/>
      </c>
      <c r="F5" s="31">
        <f>IF($A5="","",IF(COUNTIFS(Contacts!$A$2:$A$501,$A5,Contacts!$B$2:$B$501,"*Owner*")+COUNTIFS(Contacts!$A$2:$A$501,$A5,Contacts!$F$2:$F$501,"*owner*")=0,"MISSING","OK"))</f>
        <v/>
      </c>
      <c r="G5" s="31">
        <f>IF($A5="","",IF(COUNTIFS(Contacts!$A$2:$A$501,$A5,Contacts!$B$2:$B$501,"*Listing*")+COUNTIFS(Contacts!$A$2:$A$501,$A5,Contacts!$F$2:$F$501,"*listing agent*")=0,"MISSING","OK"))</f>
        <v/>
      </c>
      <c r="H5" s="31">
        <f>IF($A5="","",IF(COUNTIFS(Contacts!$A$2:$A$501,$A5,Contacts!$B$2:$B$501,"*Builder Rep*")+COUNTIFS(Contacts!$A$2:$A$501,$A5,Contacts!$B$2:$B$501,"Sales*")=0,"MISSING","OK"))</f>
        <v/>
      </c>
      <c r="I5" s="31">
        <f>IF($A5="","",IF(COUNTIFS(Contacts!$A$2:$A$501,$A5,Contacts!$B$2:$B$501,"*Docs*")+COUNTIFS(Contacts!$A$2:$A$501,$A5,Contacts!$F$2:$F$501,"*builder doc*")=0,"MISSING","OK"))</f>
        <v/>
      </c>
      <c r="J5" s="31">
        <f>IF($A5="","",IF(COUNTIFS(Contacts!$A$2:$A$501,$A5,Contacts!$B$2:$B$501,"*Appraisal*")+COUNTIFS(Contacts!$A$2:$A$501,$A5,Contacts!$F$2:$F$501,"*apprais*")=0,"MISSING","OK"))</f>
        <v/>
      </c>
      <c r="K5" s="31">
        <f>IF($A5="","",IF(Builders!$B2="","MISSING",IF(COUNTIFS('Title Contacts'!$A$2:$A$601,Builders!$B2,'Title Contacts'!$B$2:$B$601,"*agent*",'Title Contacts'!$C$2:$C$601,"&lt;&gt;")&gt;0,"OK","MISSING")))</f>
        <v/>
      </c>
      <c r="L5" s="31">
        <f>IF($A5="","",IF(Builders!$B2="","MISSING",IF(COUNTIFS('Title Contacts'!$A$2:$A$601,Builders!$B2,'Title Contacts'!$B$2:$B$601,"*assistant*",'Title Contacts'!$C$2:$C$601,"&lt;&gt;")&gt;0,"OK","MISSING")))</f>
        <v/>
      </c>
      <c r="M5" s="31">
        <f>IF($A5="","",COUNTIF(B5:L5,"MISSING"))</f>
        <v/>
      </c>
    </row>
    <row r="6">
      <c r="A6" s="18">
        <f>IF(Builders!$A3="","",Builders!$A3)</f>
        <v/>
      </c>
      <c r="B6" s="31">
        <f>IF($A6="","",IF(Builders!$B3="","MISSING","OK"))</f>
        <v/>
      </c>
      <c r="C6" s="31">
        <f>IF($A6="","",IF(Builders!$C3="","MISSING","OK"))</f>
        <v/>
      </c>
      <c r="D6" s="31">
        <f>IF($A6="","",IF(Builders!$D3="","MISSING","OK"))</f>
        <v/>
      </c>
      <c r="E6" s="31">
        <f>IF($A6="","",IF(Builders!$F3="","MISSING","OK"))</f>
        <v/>
      </c>
      <c r="F6" s="31">
        <f>IF($A6="","",IF(COUNTIFS(Contacts!$A$2:$A$501,$A6,Contacts!$B$2:$B$501,"*Owner*")+COUNTIFS(Contacts!$A$2:$A$501,$A6,Contacts!$F$2:$F$501,"*owner*")=0,"MISSING","OK"))</f>
        <v/>
      </c>
      <c r="G6" s="31">
        <f>IF($A6="","",IF(COUNTIFS(Contacts!$A$2:$A$501,$A6,Contacts!$B$2:$B$501,"*Listing*")+COUNTIFS(Contacts!$A$2:$A$501,$A6,Contacts!$F$2:$F$501,"*listing agent*")=0,"MISSING","OK"))</f>
        <v/>
      </c>
      <c r="H6" s="31">
        <f>IF($A6="","",IF(COUNTIFS(Contacts!$A$2:$A$501,$A6,Contacts!$B$2:$B$501,"*Builder Rep*")+COUNTIFS(Contacts!$A$2:$A$501,$A6,Contacts!$B$2:$B$501,"Sales*")=0,"MISSING","OK"))</f>
        <v/>
      </c>
      <c r="I6" s="31">
        <f>IF($A6="","",IF(COUNTIFS(Contacts!$A$2:$A$501,$A6,Contacts!$B$2:$B$501,"*Docs*")+COUNTIFS(Contacts!$A$2:$A$501,$A6,Contacts!$F$2:$F$501,"*builder doc*")=0,"MISSING","OK"))</f>
        <v/>
      </c>
      <c r="J6" s="31">
        <f>IF($A6="","",IF(COUNTIFS(Contacts!$A$2:$A$501,$A6,Contacts!$B$2:$B$501,"*Appraisal*")+COUNTIFS(Contacts!$A$2:$A$501,$A6,Contacts!$F$2:$F$501,"*apprais*")=0,"MISSING","OK"))</f>
        <v/>
      </c>
      <c r="K6" s="31">
        <f>IF($A6="","",IF(Builders!$B3="","MISSING",IF(COUNTIFS('Title Contacts'!$A$2:$A$601,Builders!$B3,'Title Contacts'!$B$2:$B$601,"*agent*",'Title Contacts'!$C$2:$C$601,"&lt;&gt;")&gt;0,"OK","MISSING")))</f>
        <v/>
      </c>
      <c r="L6" s="31">
        <f>IF($A6="","",IF(Builders!$B3="","MISSING",IF(COUNTIFS('Title Contacts'!$A$2:$A$601,Builders!$B3,'Title Contacts'!$B$2:$B$601,"*assistant*",'Title Contacts'!$C$2:$C$601,"&lt;&gt;")&gt;0,"OK","MISSING")))</f>
        <v/>
      </c>
      <c r="M6" s="31">
        <f>IF($A6="","",COUNTIF(B6:L6,"MISSING"))</f>
        <v/>
      </c>
    </row>
    <row r="7">
      <c r="A7" s="18">
        <f>IF(Builders!$A4="","",Builders!$A4)</f>
        <v/>
      </c>
      <c r="B7" s="31">
        <f>IF($A7="","",IF(Builders!$B4="","MISSING","OK"))</f>
        <v/>
      </c>
      <c r="C7" s="31">
        <f>IF($A7="","",IF(Builders!$C4="","MISSING","OK"))</f>
        <v/>
      </c>
      <c r="D7" s="31">
        <f>IF($A7="","",IF(Builders!$D4="","MISSING","OK"))</f>
        <v/>
      </c>
      <c r="E7" s="31">
        <f>IF($A7="","",IF(Builders!$F4="","MISSING","OK"))</f>
        <v/>
      </c>
      <c r="F7" s="31">
        <f>IF($A7="","",IF(COUNTIFS(Contacts!$A$2:$A$501,$A7,Contacts!$B$2:$B$501,"*Owner*")+COUNTIFS(Contacts!$A$2:$A$501,$A7,Contacts!$F$2:$F$501,"*owner*")=0,"MISSING","OK"))</f>
        <v/>
      </c>
      <c r="G7" s="31">
        <f>IF($A7="","",IF(COUNTIFS(Contacts!$A$2:$A$501,$A7,Contacts!$B$2:$B$501,"*Listing*")+COUNTIFS(Contacts!$A$2:$A$501,$A7,Contacts!$F$2:$F$501,"*listing agent*")=0,"MISSING","OK"))</f>
        <v/>
      </c>
      <c r="H7" s="31">
        <f>IF($A7="","",IF(COUNTIFS(Contacts!$A$2:$A$501,$A7,Contacts!$B$2:$B$501,"*Builder Rep*")+COUNTIFS(Contacts!$A$2:$A$501,$A7,Contacts!$B$2:$B$501,"Sales*")=0,"MISSING","OK"))</f>
        <v/>
      </c>
      <c r="I7" s="31">
        <f>IF($A7="","",IF(COUNTIFS(Contacts!$A$2:$A$501,$A7,Contacts!$B$2:$B$501,"*Docs*")+COUNTIFS(Contacts!$A$2:$A$501,$A7,Contacts!$F$2:$F$501,"*builder doc*")=0,"MISSING","OK"))</f>
        <v/>
      </c>
      <c r="J7" s="31">
        <f>IF($A7="","",IF(COUNTIFS(Contacts!$A$2:$A$501,$A7,Contacts!$B$2:$B$501,"*Appraisal*")+COUNTIFS(Contacts!$A$2:$A$501,$A7,Contacts!$F$2:$F$501,"*apprais*")=0,"MISSING","OK"))</f>
        <v/>
      </c>
      <c r="K7" s="31">
        <f>IF($A7="","",IF(Builders!$B4="","MISSING",IF(COUNTIFS('Title Contacts'!$A$2:$A$601,Builders!$B4,'Title Contacts'!$B$2:$B$601,"*agent*",'Title Contacts'!$C$2:$C$601,"&lt;&gt;")&gt;0,"OK","MISSING")))</f>
        <v/>
      </c>
      <c r="L7" s="31">
        <f>IF($A7="","",IF(Builders!$B4="","MISSING",IF(COUNTIFS('Title Contacts'!$A$2:$A$601,Builders!$B4,'Title Contacts'!$B$2:$B$601,"*assistant*",'Title Contacts'!$C$2:$C$601,"&lt;&gt;")&gt;0,"OK","MISSING")))</f>
        <v/>
      </c>
      <c r="M7" s="31">
        <f>IF($A7="","",COUNTIF(B7:L7,"MISSING"))</f>
        <v/>
      </c>
    </row>
    <row r="8">
      <c r="A8" s="18">
        <f>IF(Builders!$A5="","",Builders!$A5)</f>
        <v/>
      </c>
      <c r="B8" s="31">
        <f>IF($A8="","",IF(Builders!$B5="","MISSING","OK"))</f>
        <v/>
      </c>
      <c r="C8" s="31">
        <f>IF($A8="","",IF(Builders!$C5="","MISSING","OK"))</f>
        <v/>
      </c>
      <c r="D8" s="31">
        <f>IF($A8="","",IF(Builders!$D5="","MISSING","OK"))</f>
        <v/>
      </c>
      <c r="E8" s="31">
        <f>IF($A8="","",IF(Builders!$F5="","MISSING","OK"))</f>
        <v/>
      </c>
      <c r="F8" s="31">
        <f>IF($A8="","",IF(COUNTIFS(Contacts!$A$2:$A$501,$A8,Contacts!$B$2:$B$501,"*Owner*")+COUNTIFS(Contacts!$A$2:$A$501,$A8,Contacts!$F$2:$F$501,"*owner*")=0,"MISSING","OK"))</f>
        <v/>
      </c>
      <c r="G8" s="31">
        <f>IF($A8="","",IF(COUNTIFS(Contacts!$A$2:$A$501,$A8,Contacts!$B$2:$B$501,"*Listing*")+COUNTIFS(Contacts!$A$2:$A$501,$A8,Contacts!$F$2:$F$501,"*listing agent*")=0,"MISSING","OK"))</f>
        <v/>
      </c>
      <c r="H8" s="31">
        <f>IF($A8="","",IF(COUNTIFS(Contacts!$A$2:$A$501,$A8,Contacts!$B$2:$B$501,"*Builder Rep*")+COUNTIFS(Contacts!$A$2:$A$501,$A8,Contacts!$B$2:$B$501,"Sales*")=0,"MISSING","OK"))</f>
        <v/>
      </c>
      <c r="I8" s="31">
        <f>IF($A8="","",IF(COUNTIFS(Contacts!$A$2:$A$501,$A8,Contacts!$B$2:$B$501,"*Docs*")+COUNTIFS(Contacts!$A$2:$A$501,$A8,Contacts!$F$2:$F$501,"*builder doc*")=0,"MISSING","OK"))</f>
        <v/>
      </c>
      <c r="J8" s="31">
        <f>IF($A8="","",IF(COUNTIFS(Contacts!$A$2:$A$501,$A8,Contacts!$B$2:$B$501,"*Appraisal*")+COUNTIFS(Contacts!$A$2:$A$501,$A8,Contacts!$F$2:$F$501,"*apprais*")=0,"MISSING","OK"))</f>
        <v/>
      </c>
      <c r="K8" s="31">
        <f>IF($A8="","",IF(Builders!$B5="","MISSING",IF(COUNTIFS('Title Contacts'!$A$2:$A$601,Builders!$B5,'Title Contacts'!$B$2:$B$601,"*agent*",'Title Contacts'!$C$2:$C$601,"&lt;&gt;")&gt;0,"OK","MISSING")))</f>
        <v/>
      </c>
      <c r="L8" s="31">
        <f>IF($A8="","",IF(Builders!$B5="","MISSING",IF(COUNTIFS('Title Contacts'!$A$2:$A$601,Builders!$B5,'Title Contacts'!$B$2:$B$601,"*assistant*",'Title Contacts'!$C$2:$C$601,"&lt;&gt;")&gt;0,"OK","MISSING")))</f>
        <v/>
      </c>
      <c r="M8" s="31">
        <f>IF($A8="","",COUNTIF(B8:L8,"MISSING"))</f>
        <v/>
      </c>
    </row>
    <row r="9">
      <c r="A9" s="18">
        <f>IF(Builders!$A6="","",Builders!$A6)</f>
        <v/>
      </c>
      <c r="B9" s="31">
        <f>IF($A9="","",IF(Builders!$B6="","MISSING","OK"))</f>
        <v/>
      </c>
      <c r="C9" s="31">
        <f>IF($A9="","",IF(Builders!$C6="","MISSING","OK"))</f>
        <v/>
      </c>
      <c r="D9" s="31">
        <f>IF($A9="","",IF(Builders!$D6="","MISSING","OK"))</f>
        <v/>
      </c>
      <c r="E9" s="31">
        <f>IF($A9="","",IF(Builders!$F6="","MISSING","OK"))</f>
        <v/>
      </c>
      <c r="F9" s="31">
        <f>IF($A9="","",IF(COUNTIFS(Contacts!$A$2:$A$501,$A9,Contacts!$B$2:$B$501,"*Owner*")+COUNTIFS(Contacts!$A$2:$A$501,$A9,Contacts!$F$2:$F$501,"*owner*")=0,"MISSING","OK"))</f>
        <v/>
      </c>
      <c r="G9" s="31">
        <f>IF($A9="","",IF(COUNTIFS(Contacts!$A$2:$A$501,$A9,Contacts!$B$2:$B$501,"*Listing*")+COUNTIFS(Contacts!$A$2:$A$501,$A9,Contacts!$F$2:$F$501,"*listing agent*")=0,"MISSING","OK"))</f>
        <v/>
      </c>
      <c r="H9" s="31">
        <f>IF($A9="","",IF(COUNTIFS(Contacts!$A$2:$A$501,$A9,Contacts!$B$2:$B$501,"*Builder Rep*")+COUNTIFS(Contacts!$A$2:$A$501,$A9,Contacts!$B$2:$B$501,"Sales*")=0,"MISSING","OK"))</f>
        <v/>
      </c>
      <c r="I9" s="31">
        <f>IF($A9="","",IF(COUNTIFS(Contacts!$A$2:$A$501,$A9,Contacts!$B$2:$B$501,"*Docs*")+COUNTIFS(Contacts!$A$2:$A$501,$A9,Contacts!$F$2:$F$501,"*builder doc*")=0,"MISSING","OK"))</f>
        <v/>
      </c>
      <c r="J9" s="31">
        <f>IF($A9="","",IF(COUNTIFS(Contacts!$A$2:$A$501,$A9,Contacts!$B$2:$B$501,"*Appraisal*")+COUNTIFS(Contacts!$A$2:$A$501,$A9,Contacts!$F$2:$F$501,"*apprais*")=0,"MISSING","OK"))</f>
        <v/>
      </c>
      <c r="K9" s="31">
        <f>IF($A9="","",IF(Builders!$B6="","MISSING",IF(COUNTIFS('Title Contacts'!$A$2:$A$601,Builders!$B6,'Title Contacts'!$B$2:$B$601,"*agent*",'Title Contacts'!$C$2:$C$601,"&lt;&gt;")&gt;0,"OK","MISSING")))</f>
        <v/>
      </c>
      <c r="L9" s="31">
        <f>IF($A9="","",IF(Builders!$B6="","MISSING",IF(COUNTIFS('Title Contacts'!$A$2:$A$601,Builders!$B6,'Title Contacts'!$B$2:$B$601,"*assistant*",'Title Contacts'!$C$2:$C$601,"&lt;&gt;")&gt;0,"OK","MISSING")))</f>
        <v/>
      </c>
      <c r="M9" s="31">
        <f>IF($A9="","",COUNTIF(B9:L9,"MISSING"))</f>
        <v/>
      </c>
    </row>
    <row r="10">
      <c r="A10" s="18">
        <f>IF(Builders!$A7="","",Builders!$A7)</f>
        <v/>
      </c>
      <c r="B10" s="31">
        <f>IF($A10="","",IF(Builders!$B7="","MISSING","OK"))</f>
        <v/>
      </c>
      <c r="C10" s="31">
        <f>IF($A10="","",IF(Builders!$C7="","MISSING","OK"))</f>
        <v/>
      </c>
      <c r="D10" s="31">
        <f>IF($A10="","",IF(Builders!$D7="","MISSING","OK"))</f>
        <v/>
      </c>
      <c r="E10" s="31">
        <f>IF($A10="","",IF(Builders!$F7="","MISSING","OK"))</f>
        <v/>
      </c>
      <c r="F10" s="31">
        <f>IF($A10="","",IF(COUNTIFS(Contacts!$A$2:$A$501,$A10,Contacts!$B$2:$B$501,"*Owner*")+COUNTIFS(Contacts!$A$2:$A$501,$A10,Contacts!$F$2:$F$501,"*owner*")=0,"MISSING","OK"))</f>
        <v/>
      </c>
      <c r="G10" s="31">
        <f>IF($A10="","",IF(COUNTIFS(Contacts!$A$2:$A$501,$A10,Contacts!$B$2:$B$501,"*Listing*")+COUNTIFS(Contacts!$A$2:$A$501,$A10,Contacts!$F$2:$F$501,"*listing agent*")=0,"MISSING","OK"))</f>
        <v/>
      </c>
      <c r="H10" s="31">
        <f>IF($A10="","",IF(COUNTIFS(Contacts!$A$2:$A$501,$A10,Contacts!$B$2:$B$501,"*Builder Rep*")+COUNTIFS(Contacts!$A$2:$A$501,$A10,Contacts!$B$2:$B$501,"Sales*")=0,"MISSING","OK"))</f>
        <v/>
      </c>
      <c r="I10" s="31">
        <f>IF($A10="","",IF(COUNTIFS(Contacts!$A$2:$A$501,$A10,Contacts!$B$2:$B$501,"*Docs*")+COUNTIFS(Contacts!$A$2:$A$501,$A10,Contacts!$F$2:$F$501,"*builder doc*")=0,"MISSING","OK"))</f>
        <v/>
      </c>
      <c r="J10" s="31">
        <f>IF($A10="","",IF(COUNTIFS(Contacts!$A$2:$A$501,$A10,Contacts!$B$2:$B$501,"*Appraisal*")+COUNTIFS(Contacts!$A$2:$A$501,$A10,Contacts!$F$2:$F$501,"*apprais*")=0,"MISSING","OK"))</f>
        <v/>
      </c>
      <c r="K10" s="31">
        <f>IF($A10="","",IF(Builders!$B7="","MISSING",IF(COUNTIFS('Title Contacts'!$A$2:$A$601,Builders!$B7,'Title Contacts'!$B$2:$B$601,"*agent*",'Title Contacts'!$C$2:$C$601,"&lt;&gt;")&gt;0,"OK","MISSING")))</f>
        <v/>
      </c>
      <c r="L10" s="31">
        <f>IF($A10="","",IF(Builders!$B7="","MISSING",IF(COUNTIFS('Title Contacts'!$A$2:$A$601,Builders!$B7,'Title Contacts'!$B$2:$B$601,"*assistant*",'Title Contacts'!$C$2:$C$601,"&lt;&gt;")&gt;0,"OK","MISSING")))</f>
        <v/>
      </c>
      <c r="M10" s="31">
        <f>IF($A10="","",COUNTIF(B10:L10,"MISSING"))</f>
        <v/>
      </c>
    </row>
    <row r="11">
      <c r="A11" s="18">
        <f>IF(Builders!$A8="","",Builders!$A8)</f>
        <v/>
      </c>
      <c r="B11" s="31">
        <f>IF($A11="","",IF(Builders!$B8="","MISSING","OK"))</f>
        <v/>
      </c>
      <c r="C11" s="31">
        <f>IF($A11="","",IF(Builders!$C8="","MISSING","OK"))</f>
        <v/>
      </c>
      <c r="D11" s="31">
        <f>IF($A11="","",IF(Builders!$D8="","MISSING","OK"))</f>
        <v/>
      </c>
      <c r="E11" s="31">
        <f>IF($A11="","",IF(Builders!$F8="","MISSING","OK"))</f>
        <v/>
      </c>
      <c r="F11" s="31">
        <f>IF($A11="","",IF(COUNTIFS(Contacts!$A$2:$A$501,$A11,Contacts!$B$2:$B$501,"*Owner*")+COUNTIFS(Contacts!$A$2:$A$501,$A11,Contacts!$F$2:$F$501,"*owner*")=0,"MISSING","OK"))</f>
        <v/>
      </c>
      <c r="G11" s="31">
        <f>IF($A11="","",IF(COUNTIFS(Contacts!$A$2:$A$501,$A11,Contacts!$B$2:$B$501,"*Listing*")+COUNTIFS(Contacts!$A$2:$A$501,$A11,Contacts!$F$2:$F$501,"*listing agent*")=0,"MISSING","OK"))</f>
        <v/>
      </c>
      <c r="H11" s="31">
        <f>IF($A11="","",IF(COUNTIFS(Contacts!$A$2:$A$501,$A11,Contacts!$B$2:$B$501,"*Builder Rep*")+COUNTIFS(Contacts!$A$2:$A$501,$A11,Contacts!$B$2:$B$501,"Sales*")=0,"MISSING","OK"))</f>
        <v/>
      </c>
      <c r="I11" s="31">
        <f>IF($A11="","",IF(COUNTIFS(Contacts!$A$2:$A$501,$A11,Contacts!$B$2:$B$501,"*Docs*")+COUNTIFS(Contacts!$A$2:$A$501,$A11,Contacts!$F$2:$F$501,"*builder doc*")=0,"MISSING","OK"))</f>
        <v/>
      </c>
      <c r="J11" s="31">
        <f>IF($A11="","",IF(COUNTIFS(Contacts!$A$2:$A$501,$A11,Contacts!$B$2:$B$501,"*Appraisal*")+COUNTIFS(Contacts!$A$2:$A$501,$A11,Contacts!$F$2:$F$501,"*apprais*")=0,"MISSING","OK"))</f>
        <v/>
      </c>
      <c r="K11" s="31">
        <f>IF($A11="","",IF(Builders!$B8="","MISSING",IF(COUNTIFS('Title Contacts'!$A$2:$A$601,Builders!$B8,'Title Contacts'!$B$2:$B$601,"*agent*",'Title Contacts'!$C$2:$C$601,"&lt;&gt;")&gt;0,"OK","MISSING")))</f>
        <v/>
      </c>
      <c r="L11" s="31">
        <f>IF($A11="","",IF(Builders!$B8="","MISSING",IF(COUNTIFS('Title Contacts'!$A$2:$A$601,Builders!$B8,'Title Contacts'!$B$2:$B$601,"*assistant*",'Title Contacts'!$C$2:$C$601,"&lt;&gt;")&gt;0,"OK","MISSING")))</f>
        <v/>
      </c>
      <c r="M11" s="31">
        <f>IF($A11="","",COUNTIF(B11:L11,"MISSING"))</f>
        <v/>
      </c>
    </row>
    <row r="12">
      <c r="A12" s="18">
        <f>IF(Builders!$A9="","",Builders!$A9)</f>
        <v/>
      </c>
      <c r="B12" s="31">
        <f>IF($A12="","",IF(Builders!$B9="","MISSING","OK"))</f>
        <v/>
      </c>
      <c r="C12" s="31">
        <f>IF($A12="","",IF(Builders!$C9="","MISSING","OK"))</f>
        <v/>
      </c>
      <c r="D12" s="31">
        <f>IF($A12="","",IF(Builders!$D9="","MISSING","OK"))</f>
        <v/>
      </c>
      <c r="E12" s="31">
        <f>IF($A12="","",IF(Builders!$F9="","MISSING","OK"))</f>
        <v/>
      </c>
      <c r="F12" s="31">
        <f>IF($A12="","",IF(COUNTIFS(Contacts!$A$2:$A$501,$A12,Contacts!$B$2:$B$501,"*Owner*")+COUNTIFS(Contacts!$A$2:$A$501,$A12,Contacts!$F$2:$F$501,"*owner*")=0,"MISSING","OK"))</f>
        <v/>
      </c>
      <c r="G12" s="31">
        <f>IF($A12="","",IF(COUNTIFS(Contacts!$A$2:$A$501,$A12,Contacts!$B$2:$B$501,"*Listing*")+COUNTIFS(Contacts!$A$2:$A$501,$A12,Contacts!$F$2:$F$501,"*listing agent*")=0,"MISSING","OK"))</f>
        <v/>
      </c>
      <c r="H12" s="31">
        <f>IF($A12="","",IF(COUNTIFS(Contacts!$A$2:$A$501,$A12,Contacts!$B$2:$B$501,"*Builder Rep*")+COUNTIFS(Contacts!$A$2:$A$501,$A12,Contacts!$B$2:$B$501,"Sales*")=0,"MISSING","OK"))</f>
        <v/>
      </c>
      <c r="I12" s="31">
        <f>IF($A12="","",IF(COUNTIFS(Contacts!$A$2:$A$501,$A12,Contacts!$B$2:$B$501,"*Docs*")+COUNTIFS(Contacts!$A$2:$A$501,$A12,Contacts!$F$2:$F$501,"*builder doc*")=0,"MISSING","OK"))</f>
        <v/>
      </c>
      <c r="J12" s="31">
        <f>IF($A12="","",IF(COUNTIFS(Contacts!$A$2:$A$501,$A12,Contacts!$B$2:$B$501,"*Appraisal*")+COUNTIFS(Contacts!$A$2:$A$501,$A12,Contacts!$F$2:$F$501,"*apprais*")=0,"MISSING","OK"))</f>
        <v/>
      </c>
      <c r="K12" s="31">
        <f>IF($A12="","",IF(Builders!$B9="","MISSING",IF(COUNTIFS('Title Contacts'!$A$2:$A$601,Builders!$B9,'Title Contacts'!$B$2:$B$601,"*agent*",'Title Contacts'!$C$2:$C$601,"&lt;&gt;")&gt;0,"OK","MISSING")))</f>
        <v/>
      </c>
      <c r="L12" s="31">
        <f>IF($A12="","",IF(Builders!$B9="","MISSING",IF(COUNTIFS('Title Contacts'!$A$2:$A$601,Builders!$B9,'Title Contacts'!$B$2:$B$601,"*assistant*",'Title Contacts'!$C$2:$C$601,"&lt;&gt;")&gt;0,"OK","MISSING")))</f>
        <v/>
      </c>
      <c r="M12" s="31">
        <f>IF($A12="","",COUNTIF(B12:L12,"MISSING"))</f>
        <v/>
      </c>
    </row>
    <row r="13">
      <c r="A13" s="18">
        <f>IF(Builders!$A10="","",Builders!$A10)</f>
        <v/>
      </c>
      <c r="B13" s="31">
        <f>IF($A13="","",IF(Builders!$B10="","MISSING","OK"))</f>
        <v/>
      </c>
      <c r="C13" s="31">
        <f>IF($A13="","",IF(Builders!$C10="","MISSING","OK"))</f>
        <v/>
      </c>
      <c r="D13" s="31">
        <f>IF($A13="","",IF(Builders!$D10="","MISSING","OK"))</f>
        <v/>
      </c>
      <c r="E13" s="31">
        <f>IF($A13="","",IF(Builders!$F10="","MISSING","OK"))</f>
        <v/>
      </c>
      <c r="F13" s="31">
        <f>IF($A13="","",IF(COUNTIFS(Contacts!$A$2:$A$501,$A13,Contacts!$B$2:$B$501,"*Owner*")+COUNTIFS(Contacts!$A$2:$A$501,$A13,Contacts!$F$2:$F$501,"*owner*")=0,"MISSING","OK"))</f>
        <v/>
      </c>
      <c r="G13" s="31">
        <f>IF($A13="","",IF(COUNTIFS(Contacts!$A$2:$A$501,$A13,Contacts!$B$2:$B$501,"*Listing*")+COUNTIFS(Contacts!$A$2:$A$501,$A13,Contacts!$F$2:$F$501,"*listing agent*")=0,"MISSING","OK"))</f>
        <v/>
      </c>
      <c r="H13" s="31">
        <f>IF($A13="","",IF(COUNTIFS(Contacts!$A$2:$A$501,$A13,Contacts!$B$2:$B$501,"*Builder Rep*")+COUNTIFS(Contacts!$A$2:$A$501,$A13,Contacts!$B$2:$B$501,"Sales*")=0,"MISSING","OK"))</f>
        <v/>
      </c>
      <c r="I13" s="31">
        <f>IF($A13="","",IF(COUNTIFS(Contacts!$A$2:$A$501,$A13,Contacts!$B$2:$B$501,"*Docs*")+COUNTIFS(Contacts!$A$2:$A$501,$A13,Contacts!$F$2:$F$501,"*builder doc*")=0,"MISSING","OK"))</f>
        <v/>
      </c>
      <c r="J13" s="31">
        <f>IF($A13="","",IF(COUNTIFS(Contacts!$A$2:$A$501,$A13,Contacts!$B$2:$B$501,"*Appraisal*")+COUNTIFS(Contacts!$A$2:$A$501,$A13,Contacts!$F$2:$F$501,"*apprais*")=0,"MISSING","OK"))</f>
        <v/>
      </c>
      <c r="K13" s="31">
        <f>IF($A13="","",IF(Builders!$B10="","MISSING",IF(COUNTIFS('Title Contacts'!$A$2:$A$601,Builders!$B10,'Title Contacts'!$B$2:$B$601,"*agent*",'Title Contacts'!$C$2:$C$601,"&lt;&gt;")&gt;0,"OK","MISSING")))</f>
        <v/>
      </c>
      <c r="L13" s="31">
        <f>IF($A13="","",IF(Builders!$B10="","MISSING",IF(COUNTIFS('Title Contacts'!$A$2:$A$601,Builders!$B10,'Title Contacts'!$B$2:$B$601,"*assistant*",'Title Contacts'!$C$2:$C$601,"&lt;&gt;")&gt;0,"OK","MISSING")))</f>
        <v/>
      </c>
      <c r="M13" s="31">
        <f>IF($A13="","",COUNTIF(B13:L13,"MISSING"))</f>
        <v/>
      </c>
    </row>
    <row r="14">
      <c r="A14" s="18">
        <f>IF(Builders!$A11="","",Builders!$A11)</f>
        <v/>
      </c>
      <c r="B14" s="31">
        <f>IF($A14="","",IF(Builders!$B11="","MISSING","OK"))</f>
        <v/>
      </c>
      <c r="C14" s="31">
        <f>IF($A14="","",IF(Builders!$C11="","MISSING","OK"))</f>
        <v/>
      </c>
      <c r="D14" s="31">
        <f>IF($A14="","",IF(Builders!$D11="","MISSING","OK"))</f>
        <v/>
      </c>
      <c r="E14" s="31">
        <f>IF($A14="","",IF(Builders!$F11="","MISSING","OK"))</f>
        <v/>
      </c>
      <c r="F14" s="31">
        <f>IF($A14="","",IF(COUNTIFS(Contacts!$A$2:$A$501,$A14,Contacts!$B$2:$B$501,"*Owner*")+COUNTIFS(Contacts!$A$2:$A$501,$A14,Contacts!$F$2:$F$501,"*owner*")=0,"MISSING","OK"))</f>
        <v/>
      </c>
      <c r="G14" s="31">
        <f>IF($A14="","",IF(COUNTIFS(Contacts!$A$2:$A$501,$A14,Contacts!$B$2:$B$501,"*Listing*")+COUNTIFS(Contacts!$A$2:$A$501,$A14,Contacts!$F$2:$F$501,"*listing agent*")=0,"MISSING","OK"))</f>
        <v/>
      </c>
      <c r="H14" s="31">
        <f>IF($A14="","",IF(COUNTIFS(Contacts!$A$2:$A$501,$A14,Contacts!$B$2:$B$501,"*Builder Rep*")+COUNTIFS(Contacts!$A$2:$A$501,$A14,Contacts!$B$2:$B$501,"Sales*")=0,"MISSING","OK"))</f>
        <v/>
      </c>
      <c r="I14" s="31">
        <f>IF($A14="","",IF(COUNTIFS(Contacts!$A$2:$A$501,$A14,Contacts!$B$2:$B$501,"*Docs*")+COUNTIFS(Contacts!$A$2:$A$501,$A14,Contacts!$F$2:$F$501,"*builder doc*")=0,"MISSING","OK"))</f>
        <v/>
      </c>
      <c r="J14" s="31">
        <f>IF($A14="","",IF(COUNTIFS(Contacts!$A$2:$A$501,$A14,Contacts!$B$2:$B$501,"*Appraisal*")+COUNTIFS(Contacts!$A$2:$A$501,$A14,Contacts!$F$2:$F$501,"*apprais*")=0,"MISSING","OK"))</f>
        <v/>
      </c>
      <c r="K14" s="31">
        <f>IF($A14="","",IF(Builders!$B11="","MISSING",IF(COUNTIFS('Title Contacts'!$A$2:$A$601,Builders!$B11,'Title Contacts'!$B$2:$B$601,"*agent*",'Title Contacts'!$C$2:$C$601,"&lt;&gt;")&gt;0,"OK","MISSING")))</f>
        <v/>
      </c>
      <c r="L14" s="31">
        <f>IF($A14="","",IF(Builders!$B11="","MISSING",IF(COUNTIFS('Title Contacts'!$A$2:$A$601,Builders!$B11,'Title Contacts'!$B$2:$B$601,"*assistant*",'Title Contacts'!$C$2:$C$601,"&lt;&gt;")&gt;0,"OK","MISSING")))</f>
        <v/>
      </c>
      <c r="M14" s="31">
        <f>IF($A14="","",COUNTIF(B14:L14,"MISSING"))</f>
        <v/>
      </c>
    </row>
    <row r="15">
      <c r="A15" s="18">
        <f>IF(Builders!$A12="","",Builders!$A12)</f>
        <v/>
      </c>
      <c r="B15" s="31">
        <f>IF($A15="","",IF(Builders!$B12="","MISSING","OK"))</f>
        <v/>
      </c>
      <c r="C15" s="31">
        <f>IF($A15="","",IF(Builders!$C12="","MISSING","OK"))</f>
        <v/>
      </c>
      <c r="D15" s="31">
        <f>IF($A15="","",IF(Builders!$D12="","MISSING","OK"))</f>
        <v/>
      </c>
      <c r="E15" s="31">
        <f>IF($A15="","",IF(Builders!$F12="","MISSING","OK"))</f>
        <v/>
      </c>
      <c r="F15" s="31">
        <f>IF($A15="","",IF(COUNTIFS(Contacts!$A$2:$A$501,$A15,Contacts!$B$2:$B$501,"*Owner*")+COUNTIFS(Contacts!$A$2:$A$501,$A15,Contacts!$F$2:$F$501,"*owner*")=0,"MISSING","OK"))</f>
        <v/>
      </c>
      <c r="G15" s="31">
        <f>IF($A15="","",IF(COUNTIFS(Contacts!$A$2:$A$501,$A15,Contacts!$B$2:$B$501,"*Listing*")+COUNTIFS(Contacts!$A$2:$A$501,$A15,Contacts!$F$2:$F$501,"*listing agent*")=0,"MISSING","OK"))</f>
        <v/>
      </c>
      <c r="H15" s="31">
        <f>IF($A15="","",IF(COUNTIFS(Contacts!$A$2:$A$501,$A15,Contacts!$B$2:$B$501,"*Builder Rep*")+COUNTIFS(Contacts!$A$2:$A$501,$A15,Contacts!$B$2:$B$501,"Sales*")=0,"MISSING","OK"))</f>
        <v/>
      </c>
      <c r="I15" s="31">
        <f>IF($A15="","",IF(COUNTIFS(Contacts!$A$2:$A$501,$A15,Contacts!$B$2:$B$501,"*Docs*")+COUNTIFS(Contacts!$A$2:$A$501,$A15,Contacts!$F$2:$F$501,"*builder doc*")=0,"MISSING","OK"))</f>
        <v/>
      </c>
      <c r="J15" s="31">
        <f>IF($A15="","",IF(COUNTIFS(Contacts!$A$2:$A$501,$A15,Contacts!$B$2:$B$501,"*Appraisal*")+COUNTIFS(Contacts!$A$2:$A$501,$A15,Contacts!$F$2:$F$501,"*apprais*")=0,"MISSING","OK"))</f>
        <v/>
      </c>
      <c r="K15" s="31">
        <f>IF($A15="","",IF(Builders!$B12="","MISSING",IF(COUNTIFS('Title Contacts'!$A$2:$A$601,Builders!$B12,'Title Contacts'!$B$2:$B$601,"*agent*",'Title Contacts'!$C$2:$C$601,"&lt;&gt;")&gt;0,"OK","MISSING")))</f>
        <v/>
      </c>
      <c r="L15" s="31">
        <f>IF($A15="","",IF(Builders!$B12="","MISSING",IF(COUNTIFS('Title Contacts'!$A$2:$A$601,Builders!$B12,'Title Contacts'!$B$2:$B$601,"*assistant*",'Title Contacts'!$C$2:$C$601,"&lt;&gt;")&gt;0,"OK","MISSING")))</f>
        <v/>
      </c>
      <c r="M15" s="31">
        <f>IF($A15="","",COUNTIF(B15:L15,"MISSING"))</f>
        <v/>
      </c>
    </row>
    <row r="16">
      <c r="A16" s="18">
        <f>IF(Builders!$A13="","",Builders!$A13)</f>
        <v/>
      </c>
      <c r="B16" s="31">
        <f>IF($A16="","",IF(Builders!$B13="","MISSING","OK"))</f>
        <v/>
      </c>
      <c r="C16" s="31">
        <f>IF($A16="","",IF(Builders!$C13="","MISSING","OK"))</f>
        <v/>
      </c>
      <c r="D16" s="31">
        <f>IF($A16="","",IF(Builders!$D13="","MISSING","OK"))</f>
        <v/>
      </c>
      <c r="E16" s="31">
        <f>IF($A16="","",IF(Builders!$F13="","MISSING","OK"))</f>
        <v/>
      </c>
      <c r="F16" s="31">
        <f>IF($A16="","",IF(COUNTIFS(Contacts!$A$2:$A$501,$A16,Contacts!$B$2:$B$501,"*Owner*")+COUNTIFS(Contacts!$A$2:$A$501,$A16,Contacts!$F$2:$F$501,"*owner*")=0,"MISSING","OK"))</f>
        <v/>
      </c>
      <c r="G16" s="31">
        <f>IF($A16="","",IF(COUNTIFS(Contacts!$A$2:$A$501,$A16,Contacts!$B$2:$B$501,"*Listing*")+COUNTIFS(Contacts!$A$2:$A$501,$A16,Contacts!$F$2:$F$501,"*listing agent*")=0,"MISSING","OK"))</f>
        <v/>
      </c>
      <c r="H16" s="31">
        <f>IF($A16="","",IF(COUNTIFS(Contacts!$A$2:$A$501,$A16,Contacts!$B$2:$B$501,"*Builder Rep*")+COUNTIFS(Contacts!$A$2:$A$501,$A16,Contacts!$B$2:$B$501,"Sales*")=0,"MISSING","OK"))</f>
        <v/>
      </c>
      <c r="I16" s="31">
        <f>IF($A16="","",IF(COUNTIFS(Contacts!$A$2:$A$501,$A16,Contacts!$B$2:$B$501,"*Docs*")+COUNTIFS(Contacts!$A$2:$A$501,$A16,Contacts!$F$2:$F$501,"*builder doc*")=0,"MISSING","OK"))</f>
        <v/>
      </c>
      <c r="J16" s="31">
        <f>IF($A16="","",IF(COUNTIFS(Contacts!$A$2:$A$501,$A16,Contacts!$B$2:$B$501,"*Appraisal*")+COUNTIFS(Contacts!$A$2:$A$501,$A16,Contacts!$F$2:$F$501,"*apprais*")=0,"MISSING","OK"))</f>
        <v/>
      </c>
      <c r="K16" s="31">
        <f>IF($A16="","",IF(Builders!$B13="","MISSING",IF(COUNTIFS('Title Contacts'!$A$2:$A$601,Builders!$B13,'Title Contacts'!$B$2:$B$601,"*agent*",'Title Contacts'!$C$2:$C$601,"&lt;&gt;")&gt;0,"OK","MISSING")))</f>
        <v/>
      </c>
      <c r="L16" s="31">
        <f>IF($A16="","",IF(Builders!$B13="","MISSING",IF(COUNTIFS('Title Contacts'!$A$2:$A$601,Builders!$B13,'Title Contacts'!$B$2:$B$601,"*assistant*",'Title Contacts'!$C$2:$C$601,"&lt;&gt;")&gt;0,"OK","MISSING")))</f>
        <v/>
      </c>
      <c r="M16" s="31">
        <f>IF($A16="","",COUNTIF(B16:L16,"MISSING"))</f>
        <v/>
      </c>
    </row>
    <row r="17">
      <c r="A17" s="18">
        <f>IF(Builders!$A14="","",Builders!$A14)</f>
        <v/>
      </c>
      <c r="B17" s="31">
        <f>IF($A17="","",IF(Builders!$B14="","MISSING","OK"))</f>
        <v/>
      </c>
      <c r="C17" s="31">
        <f>IF($A17="","",IF(Builders!$C14="","MISSING","OK"))</f>
        <v/>
      </c>
      <c r="D17" s="31">
        <f>IF($A17="","",IF(Builders!$D14="","MISSING","OK"))</f>
        <v/>
      </c>
      <c r="E17" s="31">
        <f>IF($A17="","",IF(Builders!$F14="","MISSING","OK"))</f>
        <v/>
      </c>
      <c r="F17" s="31">
        <f>IF($A17="","",IF(COUNTIFS(Contacts!$A$2:$A$501,$A17,Contacts!$B$2:$B$501,"*Owner*")+COUNTIFS(Contacts!$A$2:$A$501,$A17,Contacts!$F$2:$F$501,"*owner*")=0,"MISSING","OK"))</f>
        <v/>
      </c>
      <c r="G17" s="31">
        <f>IF($A17="","",IF(COUNTIFS(Contacts!$A$2:$A$501,$A17,Contacts!$B$2:$B$501,"*Listing*")+COUNTIFS(Contacts!$A$2:$A$501,$A17,Contacts!$F$2:$F$501,"*listing agent*")=0,"MISSING","OK"))</f>
        <v/>
      </c>
      <c r="H17" s="31">
        <f>IF($A17="","",IF(COUNTIFS(Contacts!$A$2:$A$501,$A17,Contacts!$B$2:$B$501,"*Builder Rep*")+COUNTIFS(Contacts!$A$2:$A$501,$A17,Contacts!$B$2:$B$501,"Sales*")=0,"MISSING","OK"))</f>
        <v/>
      </c>
      <c r="I17" s="31">
        <f>IF($A17="","",IF(COUNTIFS(Contacts!$A$2:$A$501,$A17,Contacts!$B$2:$B$501,"*Docs*")+COUNTIFS(Contacts!$A$2:$A$501,$A17,Contacts!$F$2:$F$501,"*builder doc*")=0,"MISSING","OK"))</f>
        <v/>
      </c>
      <c r="J17" s="31">
        <f>IF($A17="","",IF(COUNTIFS(Contacts!$A$2:$A$501,$A17,Contacts!$B$2:$B$501,"*Appraisal*")+COUNTIFS(Contacts!$A$2:$A$501,$A17,Contacts!$F$2:$F$501,"*apprais*")=0,"MISSING","OK"))</f>
        <v/>
      </c>
      <c r="K17" s="31">
        <f>IF($A17="","",IF(Builders!$B14="","MISSING",IF(COUNTIFS('Title Contacts'!$A$2:$A$601,Builders!$B14,'Title Contacts'!$B$2:$B$601,"*agent*",'Title Contacts'!$C$2:$C$601,"&lt;&gt;")&gt;0,"OK","MISSING")))</f>
        <v/>
      </c>
      <c r="L17" s="31">
        <f>IF($A17="","",IF(Builders!$B14="","MISSING",IF(COUNTIFS('Title Contacts'!$A$2:$A$601,Builders!$B14,'Title Contacts'!$B$2:$B$601,"*assistant*",'Title Contacts'!$C$2:$C$601,"&lt;&gt;")&gt;0,"OK","MISSING")))</f>
        <v/>
      </c>
      <c r="M17" s="31">
        <f>IF($A17="","",COUNTIF(B17:L17,"MISSING"))</f>
        <v/>
      </c>
    </row>
    <row r="18">
      <c r="A18" s="18">
        <f>IF(Builders!$A15="","",Builders!$A15)</f>
        <v/>
      </c>
      <c r="B18" s="31">
        <f>IF($A18="","",IF(Builders!$B15="","MISSING","OK"))</f>
        <v/>
      </c>
      <c r="C18" s="31">
        <f>IF($A18="","",IF(Builders!$C15="","MISSING","OK"))</f>
        <v/>
      </c>
      <c r="D18" s="31">
        <f>IF($A18="","",IF(Builders!$D15="","MISSING","OK"))</f>
        <v/>
      </c>
      <c r="E18" s="31">
        <f>IF($A18="","",IF(Builders!$F15="","MISSING","OK"))</f>
        <v/>
      </c>
      <c r="F18" s="31">
        <f>IF($A18="","",IF(COUNTIFS(Contacts!$A$2:$A$501,$A18,Contacts!$B$2:$B$501,"*Owner*")+COUNTIFS(Contacts!$A$2:$A$501,$A18,Contacts!$F$2:$F$501,"*owner*")=0,"MISSING","OK"))</f>
        <v/>
      </c>
      <c r="G18" s="31">
        <f>IF($A18="","",IF(COUNTIFS(Contacts!$A$2:$A$501,$A18,Contacts!$B$2:$B$501,"*Listing*")+COUNTIFS(Contacts!$A$2:$A$501,$A18,Contacts!$F$2:$F$501,"*listing agent*")=0,"MISSING","OK"))</f>
        <v/>
      </c>
      <c r="H18" s="31">
        <f>IF($A18="","",IF(COUNTIFS(Contacts!$A$2:$A$501,$A18,Contacts!$B$2:$B$501,"*Builder Rep*")+COUNTIFS(Contacts!$A$2:$A$501,$A18,Contacts!$B$2:$B$501,"Sales*")=0,"MISSING","OK"))</f>
        <v/>
      </c>
      <c r="I18" s="31">
        <f>IF($A18="","",IF(COUNTIFS(Contacts!$A$2:$A$501,$A18,Contacts!$B$2:$B$501,"*Docs*")+COUNTIFS(Contacts!$A$2:$A$501,$A18,Contacts!$F$2:$F$501,"*builder doc*")=0,"MISSING","OK"))</f>
        <v/>
      </c>
      <c r="J18" s="31">
        <f>IF($A18="","",IF(COUNTIFS(Contacts!$A$2:$A$501,$A18,Contacts!$B$2:$B$501,"*Appraisal*")+COUNTIFS(Contacts!$A$2:$A$501,$A18,Contacts!$F$2:$F$501,"*apprais*")=0,"MISSING","OK"))</f>
        <v/>
      </c>
      <c r="K18" s="31">
        <f>IF($A18="","",IF(Builders!$B15="","MISSING",IF(COUNTIFS('Title Contacts'!$A$2:$A$601,Builders!$B15,'Title Contacts'!$B$2:$B$601,"*agent*",'Title Contacts'!$C$2:$C$601,"&lt;&gt;")&gt;0,"OK","MISSING")))</f>
        <v/>
      </c>
      <c r="L18" s="31">
        <f>IF($A18="","",IF(Builders!$B15="","MISSING",IF(COUNTIFS('Title Contacts'!$A$2:$A$601,Builders!$B15,'Title Contacts'!$B$2:$B$601,"*assistant*",'Title Contacts'!$C$2:$C$601,"&lt;&gt;")&gt;0,"OK","MISSING")))</f>
        <v/>
      </c>
      <c r="M18" s="31">
        <f>IF($A18="","",COUNTIF(B18:L18,"MISSING"))</f>
        <v/>
      </c>
    </row>
    <row r="19">
      <c r="A19" s="18">
        <f>IF(Builders!$A16="","",Builders!$A16)</f>
        <v/>
      </c>
      <c r="B19" s="31">
        <f>IF($A19="","",IF(Builders!$B16="","MISSING","OK"))</f>
        <v/>
      </c>
      <c r="C19" s="31">
        <f>IF($A19="","",IF(Builders!$C16="","MISSING","OK"))</f>
        <v/>
      </c>
      <c r="D19" s="31">
        <f>IF($A19="","",IF(Builders!$D16="","MISSING","OK"))</f>
        <v/>
      </c>
      <c r="E19" s="31">
        <f>IF($A19="","",IF(Builders!$F16="","MISSING","OK"))</f>
        <v/>
      </c>
      <c r="F19" s="31">
        <f>IF($A19="","",IF(COUNTIFS(Contacts!$A$2:$A$501,$A19,Contacts!$B$2:$B$501,"*Owner*")+COUNTIFS(Contacts!$A$2:$A$501,$A19,Contacts!$F$2:$F$501,"*owner*")=0,"MISSING","OK"))</f>
        <v/>
      </c>
      <c r="G19" s="31">
        <f>IF($A19="","",IF(COUNTIFS(Contacts!$A$2:$A$501,$A19,Contacts!$B$2:$B$501,"*Listing*")+COUNTIFS(Contacts!$A$2:$A$501,$A19,Contacts!$F$2:$F$501,"*listing agent*")=0,"MISSING","OK"))</f>
        <v/>
      </c>
      <c r="H19" s="31">
        <f>IF($A19="","",IF(COUNTIFS(Contacts!$A$2:$A$501,$A19,Contacts!$B$2:$B$501,"*Builder Rep*")+COUNTIFS(Contacts!$A$2:$A$501,$A19,Contacts!$B$2:$B$501,"Sales*")=0,"MISSING","OK"))</f>
        <v/>
      </c>
      <c r="I19" s="31">
        <f>IF($A19="","",IF(COUNTIFS(Contacts!$A$2:$A$501,$A19,Contacts!$B$2:$B$501,"*Docs*")+COUNTIFS(Contacts!$A$2:$A$501,$A19,Contacts!$F$2:$F$501,"*builder doc*")=0,"MISSING","OK"))</f>
        <v/>
      </c>
      <c r="J19" s="31">
        <f>IF($A19="","",IF(COUNTIFS(Contacts!$A$2:$A$501,$A19,Contacts!$B$2:$B$501,"*Appraisal*")+COUNTIFS(Contacts!$A$2:$A$501,$A19,Contacts!$F$2:$F$501,"*apprais*")=0,"MISSING","OK"))</f>
        <v/>
      </c>
      <c r="K19" s="31">
        <f>IF($A19="","",IF(Builders!$B16="","MISSING",IF(COUNTIFS('Title Contacts'!$A$2:$A$601,Builders!$B16,'Title Contacts'!$B$2:$B$601,"*agent*",'Title Contacts'!$C$2:$C$601,"&lt;&gt;")&gt;0,"OK","MISSING")))</f>
        <v/>
      </c>
      <c r="L19" s="31">
        <f>IF($A19="","",IF(Builders!$B16="","MISSING",IF(COUNTIFS('Title Contacts'!$A$2:$A$601,Builders!$B16,'Title Contacts'!$B$2:$B$601,"*assistant*",'Title Contacts'!$C$2:$C$601,"&lt;&gt;")&gt;0,"OK","MISSING")))</f>
        <v/>
      </c>
      <c r="M19" s="31">
        <f>IF($A19="","",COUNTIF(B19:L19,"MISSING"))</f>
        <v/>
      </c>
    </row>
    <row r="20">
      <c r="A20" s="18">
        <f>IF(Builders!$A17="","",Builders!$A17)</f>
        <v/>
      </c>
      <c r="B20" s="31">
        <f>IF($A20="","",IF(Builders!$B17="","MISSING","OK"))</f>
        <v/>
      </c>
      <c r="C20" s="31">
        <f>IF($A20="","",IF(Builders!$C17="","MISSING","OK"))</f>
        <v/>
      </c>
      <c r="D20" s="31">
        <f>IF($A20="","",IF(Builders!$D17="","MISSING","OK"))</f>
        <v/>
      </c>
      <c r="E20" s="31">
        <f>IF($A20="","",IF(Builders!$F17="","MISSING","OK"))</f>
        <v/>
      </c>
      <c r="F20" s="31">
        <f>IF($A20="","",IF(COUNTIFS(Contacts!$A$2:$A$501,$A20,Contacts!$B$2:$B$501,"*Owner*")+COUNTIFS(Contacts!$A$2:$A$501,$A20,Contacts!$F$2:$F$501,"*owner*")=0,"MISSING","OK"))</f>
        <v/>
      </c>
      <c r="G20" s="31">
        <f>IF($A20="","",IF(COUNTIFS(Contacts!$A$2:$A$501,$A20,Contacts!$B$2:$B$501,"*Listing*")+COUNTIFS(Contacts!$A$2:$A$501,$A20,Contacts!$F$2:$F$501,"*listing agent*")=0,"MISSING","OK"))</f>
        <v/>
      </c>
      <c r="H20" s="31">
        <f>IF($A20="","",IF(COUNTIFS(Contacts!$A$2:$A$501,$A20,Contacts!$B$2:$B$501,"*Builder Rep*")+COUNTIFS(Contacts!$A$2:$A$501,$A20,Contacts!$B$2:$B$501,"Sales*")=0,"MISSING","OK"))</f>
        <v/>
      </c>
      <c r="I20" s="31">
        <f>IF($A20="","",IF(COUNTIFS(Contacts!$A$2:$A$501,$A20,Contacts!$B$2:$B$501,"*Docs*")+COUNTIFS(Contacts!$A$2:$A$501,$A20,Contacts!$F$2:$F$501,"*builder doc*")=0,"MISSING","OK"))</f>
        <v/>
      </c>
      <c r="J20" s="31">
        <f>IF($A20="","",IF(COUNTIFS(Contacts!$A$2:$A$501,$A20,Contacts!$B$2:$B$501,"*Appraisal*")+COUNTIFS(Contacts!$A$2:$A$501,$A20,Contacts!$F$2:$F$501,"*apprais*")=0,"MISSING","OK"))</f>
        <v/>
      </c>
      <c r="K20" s="31">
        <f>IF($A20="","",IF(Builders!$B17="","MISSING",IF(COUNTIFS('Title Contacts'!$A$2:$A$601,Builders!$B17,'Title Contacts'!$B$2:$B$601,"*agent*",'Title Contacts'!$C$2:$C$601,"&lt;&gt;")&gt;0,"OK","MISSING")))</f>
        <v/>
      </c>
      <c r="L20" s="31">
        <f>IF($A20="","",IF(Builders!$B17="","MISSING",IF(COUNTIFS('Title Contacts'!$A$2:$A$601,Builders!$B17,'Title Contacts'!$B$2:$B$601,"*assistant*",'Title Contacts'!$C$2:$C$601,"&lt;&gt;")&gt;0,"OK","MISSING")))</f>
        <v/>
      </c>
      <c r="M20" s="31">
        <f>IF($A20="","",COUNTIF(B20:L20,"MISSING"))</f>
        <v/>
      </c>
    </row>
    <row r="21">
      <c r="A21" s="18">
        <f>IF(Builders!$A18="","",Builders!$A18)</f>
        <v/>
      </c>
      <c r="B21" s="31">
        <f>IF($A21="","",IF(Builders!$B18="","MISSING","OK"))</f>
        <v/>
      </c>
      <c r="C21" s="31">
        <f>IF($A21="","",IF(Builders!$C18="","MISSING","OK"))</f>
        <v/>
      </c>
      <c r="D21" s="31">
        <f>IF($A21="","",IF(Builders!$D18="","MISSING","OK"))</f>
        <v/>
      </c>
      <c r="E21" s="31">
        <f>IF($A21="","",IF(Builders!$F18="","MISSING","OK"))</f>
        <v/>
      </c>
      <c r="F21" s="31">
        <f>IF($A21="","",IF(COUNTIFS(Contacts!$A$2:$A$501,$A21,Contacts!$B$2:$B$501,"*Owner*")+COUNTIFS(Contacts!$A$2:$A$501,$A21,Contacts!$F$2:$F$501,"*owner*")=0,"MISSING","OK"))</f>
        <v/>
      </c>
      <c r="G21" s="31">
        <f>IF($A21="","",IF(COUNTIFS(Contacts!$A$2:$A$501,$A21,Contacts!$B$2:$B$501,"*Listing*")+COUNTIFS(Contacts!$A$2:$A$501,$A21,Contacts!$F$2:$F$501,"*listing agent*")=0,"MISSING","OK"))</f>
        <v/>
      </c>
      <c r="H21" s="31">
        <f>IF($A21="","",IF(COUNTIFS(Contacts!$A$2:$A$501,$A21,Contacts!$B$2:$B$501,"*Builder Rep*")+COUNTIFS(Contacts!$A$2:$A$501,$A21,Contacts!$B$2:$B$501,"Sales*")=0,"MISSING","OK"))</f>
        <v/>
      </c>
      <c r="I21" s="31">
        <f>IF($A21="","",IF(COUNTIFS(Contacts!$A$2:$A$501,$A21,Contacts!$B$2:$B$501,"*Docs*")+COUNTIFS(Contacts!$A$2:$A$501,$A21,Contacts!$F$2:$F$501,"*builder doc*")=0,"MISSING","OK"))</f>
        <v/>
      </c>
      <c r="J21" s="31">
        <f>IF($A21="","",IF(COUNTIFS(Contacts!$A$2:$A$501,$A21,Contacts!$B$2:$B$501,"*Appraisal*")+COUNTIFS(Contacts!$A$2:$A$501,$A21,Contacts!$F$2:$F$501,"*apprais*")=0,"MISSING","OK"))</f>
        <v/>
      </c>
      <c r="K21" s="31">
        <f>IF($A21="","",IF(Builders!$B18="","MISSING",IF(COUNTIFS('Title Contacts'!$A$2:$A$601,Builders!$B18,'Title Contacts'!$B$2:$B$601,"*agent*",'Title Contacts'!$C$2:$C$601,"&lt;&gt;")&gt;0,"OK","MISSING")))</f>
        <v/>
      </c>
      <c r="L21" s="31">
        <f>IF($A21="","",IF(Builders!$B18="","MISSING",IF(COUNTIFS('Title Contacts'!$A$2:$A$601,Builders!$B18,'Title Contacts'!$B$2:$B$601,"*assistant*",'Title Contacts'!$C$2:$C$601,"&lt;&gt;")&gt;0,"OK","MISSING")))</f>
        <v/>
      </c>
      <c r="M21" s="31">
        <f>IF($A21="","",COUNTIF(B21:L21,"MISSING"))</f>
        <v/>
      </c>
    </row>
    <row r="22">
      <c r="A22" s="18">
        <f>IF(Builders!$A19="","",Builders!$A19)</f>
        <v/>
      </c>
      <c r="B22" s="31">
        <f>IF($A22="","",IF(Builders!$B19="","MISSING","OK"))</f>
        <v/>
      </c>
      <c r="C22" s="31">
        <f>IF($A22="","",IF(Builders!$C19="","MISSING","OK"))</f>
        <v/>
      </c>
      <c r="D22" s="31">
        <f>IF($A22="","",IF(Builders!$D19="","MISSING","OK"))</f>
        <v/>
      </c>
      <c r="E22" s="31">
        <f>IF($A22="","",IF(Builders!$F19="","MISSING","OK"))</f>
        <v/>
      </c>
      <c r="F22" s="31">
        <f>IF($A22="","",IF(COUNTIFS(Contacts!$A$2:$A$501,$A22,Contacts!$B$2:$B$501,"*Owner*")+COUNTIFS(Contacts!$A$2:$A$501,$A22,Contacts!$F$2:$F$501,"*owner*")=0,"MISSING","OK"))</f>
        <v/>
      </c>
      <c r="G22" s="31">
        <f>IF($A22="","",IF(COUNTIFS(Contacts!$A$2:$A$501,$A22,Contacts!$B$2:$B$501,"*Listing*")+COUNTIFS(Contacts!$A$2:$A$501,$A22,Contacts!$F$2:$F$501,"*listing agent*")=0,"MISSING","OK"))</f>
        <v/>
      </c>
      <c r="H22" s="31">
        <f>IF($A22="","",IF(COUNTIFS(Contacts!$A$2:$A$501,$A22,Contacts!$B$2:$B$501,"*Builder Rep*")+COUNTIFS(Contacts!$A$2:$A$501,$A22,Contacts!$B$2:$B$501,"Sales*")=0,"MISSING","OK"))</f>
        <v/>
      </c>
      <c r="I22" s="31">
        <f>IF($A22="","",IF(COUNTIFS(Contacts!$A$2:$A$501,$A22,Contacts!$B$2:$B$501,"*Docs*")+COUNTIFS(Contacts!$A$2:$A$501,$A22,Contacts!$F$2:$F$501,"*builder doc*")=0,"MISSING","OK"))</f>
        <v/>
      </c>
      <c r="J22" s="31">
        <f>IF($A22="","",IF(COUNTIFS(Contacts!$A$2:$A$501,$A22,Contacts!$B$2:$B$501,"*Appraisal*")+COUNTIFS(Contacts!$A$2:$A$501,$A22,Contacts!$F$2:$F$501,"*apprais*")=0,"MISSING","OK"))</f>
        <v/>
      </c>
      <c r="K22" s="31">
        <f>IF($A22="","",IF(Builders!$B19="","MISSING",IF(COUNTIFS('Title Contacts'!$A$2:$A$601,Builders!$B19,'Title Contacts'!$B$2:$B$601,"*agent*",'Title Contacts'!$C$2:$C$601,"&lt;&gt;")&gt;0,"OK","MISSING")))</f>
        <v/>
      </c>
      <c r="L22" s="31">
        <f>IF($A22="","",IF(Builders!$B19="","MISSING",IF(COUNTIFS('Title Contacts'!$A$2:$A$601,Builders!$B19,'Title Contacts'!$B$2:$B$601,"*assistant*",'Title Contacts'!$C$2:$C$601,"&lt;&gt;")&gt;0,"OK","MISSING")))</f>
        <v/>
      </c>
      <c r="M22" s="31">
        <f>IF($A22="","",COUNTIF(B22:L22,"MISSING"))</f>
        <v/>
      </c>
    </row>
    <row r="23">
      <c r="A23" s="18">
        <f>IF(Builders!$A20="","",Builders!$A20)</f>
        <v/>
      </c>
      <c r="B23" s="31">
        <f>IF($A23="","",IF(Builders!$B20="","MISSING","OK"))</f>
        <v/>
      </c>
      <c r="C23" s="31">
        <f>IF($A23="","",IF(Builders!$C20="","MISSING","OK"))</f>
        <v/>
      </c>
      <c r="D23" s="31">
        <f>IF($A23="","",IF(Builders!$D20="","MISSING","OK"))</f>
        <v/>
      </c>
      <c r="E23" s="31">
        <f>IF($A23="","",IF(Builders!$F20="","MISSING","OK"))</f>
        <v/>
      </c>
      <c r="F23" s="31">
        <f>IF($A23="","",IF(COUNTIFS(Contacts!$A$2:$A$501,$A23,Contacts!$B$2:$B$501,"*Owner*")+COUNTIFS(Contacts!$A$2:$A$501,$A23,Contacts!$F$2:$F$501,"*owner*")=0,"MISSING","OK"))</f>
        <v/>
      </c>
      <c r="G23" s="31">
        <f>IF($A23="","",IF(COUNTIFS(Contacts!$A$2:$A$501,$A23,Contacts!$B$2:$B$501,"*Listing*")+COUNTIFS(Contacts!$A$2:$A$501,$A23,Contacts!$F$2:$F$501,"*listing agent*")=0,"MISSING","OK"))</f>
        <v/>
      </c>
      <c r="H23" s="31">
        <f>IF($A23="","",IF(COUNTIFS(Contacts!$A$2:$A$501,$A23,Contacts!$B$2:$B$501,"*Builder Rep*")+COUNTIFS(Contacts!$A$2:$A$501,$A23,Contacts!$B$2:$B$501,"Sales*")=0,"MISSING","OK"))</f>
        <v/>
      </c>
      <c r="I23" s="31">
        <f>IF($A23="","",IF(COUNTIFS(Contacts!$A$2:$A$501,$A23,Contacts!$B$2:$B$501,"*Docs*")+COUNTIFS(Contacts!$A$2:$A$501,$A23,Contacts!$F$2:$F$501,"*builder doc*")=0,"MISSING","OK"))</f>
        <v/>
      </c>
      <c r="J23" s="31">
        <f>IF($A23="","",IF(COUNTIFS(Contacts!$A$2:$A$501,$A23,Contacts!$B$2:$B$501,"*Appraisal*")+COUNTIFS(Contacts!$A$2:$A$501,$A23,Contacts!$F$2:$F$501,"*apprais*")=0,"MISSING","OK"))</f>
        <v/>
      </c>
      <c r="K23" s="31">
        <f>IF($A23="","",IF(Builders!$B20="","MISSING",IF(COUNTIFS('Title Contacts'!$A$2:$A$601,Builders!$B20,'Title Contacts'!$B$2:$B$601,"*agent*",'Title Contacts'!$C$2:$C$601,"&lt;&gt;")&gt;0,"OK","MISSING")))</f>
        <v/>
      </c>
      <c r="L23" s="31">
        <f>IF($A23="","",IF(Builders!$B20="","MISSING",IF(COUNTIFS('Title Contacts'!$A$2:$A$601,Builders!$B20,'Title Contacts'!$B$2:$B$601,"*assistant*",'Title Contacts'!$C$2:$C$601,"&lt;&gt;")&gt;0,"OK","MISSING")))</f>
        <v/>
      </c>
      <c r="M23" s="31">
        <f>IF($A23="","",COUNTIF(B23:L23,"MISSING"))</f>
        <v/>
      </c>
    </row>
    <row r="24">
      <c r="A24" s="18">
        <f>IF(Builders!$A21="","",Builders!$A21)</f>
        <v/>
      </c>
      <c r="B24" s="31">
        <f>IF($A24="","",IF(Builders!$B21="","MISSING","OK"))</f>
        <v/>
      </c>
      <c r="C24" s="31">
        <f>IF($A24="","",IF(Builders!$C21="","MISSING","OK"))</f>
        <v/>
      </c>
      <c r="D24" s="31">
        <f>IF($A24="","",IF(Builders!$D21="","MISSING","OK"))</f>
        <v/>
      </c>
      <c r="E24" s="31">
        <f>IF($A24="","",IF(Builders!$F21="","MISSING","OK"))</f>
        <v/>
      </c>
      <c r="F24" s="31">
        <f>IF($A24="","",IF(COUNTIFS(Contacts!$A$2:$A$501,$A24,Contacts!$B$2:$B$501,"*Owner*")+COUNTIFS(Contacts!$A$2:$A$501,$A24,Contacts!$F$2:$F$501,"*owner*")=0,"MISSING","OK"))</f>
        <v/>
      </c>
      <c r="G24" s="31">
        <f>IF($A24="","",IF(COUNTIFS(Contacts!$A$2:$A$501,$A24,Contacts!$B$2:$B$501,"*Listing*")+COUNTIFS(Contacts!$A$2:$A$501,$A24,Contacts!$F$2:$F$501,"*listing agent*")=0,"MISSING","OK"))</f>
        <v/>
      </c>
      <c r="H24" s="31">
        <f>IF($A24="","",IF(COUNTIFS(Contacts!$A$2:$A$501,$A24,Contacts!$B$2:$B$501,"*Builder Rep*")+COUNTIFS(Contacts!$A$2:$A$501,$A24,Contacts!$B$2:$B$501,"Sales*")=0,"MISSING","OK"))</f>
        <v/>
      </c>
      <c r="I24" s="31">
        <f>IF($A24="","",IF(COUNTIFS(Contacts!$A$2:$A$501,$A24,Contacts!$B$2:$B$501,"*Docs*")+COUNTIFS(Contacts!$A$2:$A$501,$A24,Contacts!$F$2:$F$501,"*builder doc*")=0,"MISSING","OK"))</f>
        <v/>
      </c>
      <c r="J24" s="31">
        <f>IF($A24="","",IF(COUNTIFS(Contacts!$A$2:$A$501,$A24,Contacts!$B$2:$B$501,"*Appraisal*")+COUNTIFS(Contacts!$A$2:$A$501,$A24,Contacts!$F$2:$F$501,"*apprais*")=0,"MISSING","OK"))</f>
        <v/>
      </c>
      <c r="K24" s="31">
        <f>IF($A24="","",IF(Builders!$B21="","MISSING",IF(COUNTIFS('Title Contacts'!$A$2:$A$601,Builders!$B21,'Title Contacts'!$B$2:$B$601,"*agent*",'Title Contacts'!$C$2:$C$601,"&lt;&gt;")&gt;0,"OK","MISSING")))</f>
        <v/>
      </c>
      <c r="L24" s="31">
        <f>IF($A24="","",IF(Builders!$B21="","MISSING",IF(COUNTIFS('Title Contacts'!$A$2:$A$601,Builders!$B21,'Title Contacts'!$B$2:$B$601,"*assistant*",'Title Contacts'!$C$2:$C$601,"&lt;&gt;")&gt;0,"OK","MISSING")))</f>
        <v/>
      </c>
      <c r="M24" s="31">
        <f>IF($A24="","",COUNTIF(B24:L24,"MISSING"))</f>
        <v/>
      </c>
    </row>
    <row r="25">
      <c r="A25" s="18">
        <f>IF(Builders!$A22="","",Builders!$A22)</f>
        <v/>
      </c>
      <c r="B25" s="31">
        <f>IF($A25="","",IF(Builders!$B22="","MISSING","OK"))</f>
        <v/>
      </c>
      <c r="C25" s="31">
        <f>IF($A25="","",IF(Builders!$C22="","MISSING","OK"))</f>
        <v/>
      </c>
      <c r="D25" s="31">
        <f>IF($A25="","",IF(Builders!$D22="","MISSING","OK"))</f>
        <v/>
      </c>
      <c r="E25" s="31">
        <f>IF($A25="","",IF(Builders!$F22="","MISSING","OK"))</f>
        <v/>
      </c>
      <c r="F25" s="31">
        <f>IF($A25="","",IF(COUNTIFS(Contacts!$A$2:$A$501,$A25,Contacts!$B$2:$B$501,"*Owner*")+COUNTIFS(Contacts!$A$2:$A$501,$A25,Contacts!$F$2:$F$501,"*owner*")=0,"MISSING","OK"))</f>
        <v/>
      </c>
      <c r="G25" s="31">
        <f>IF($A25="","",IF(COUNTIFS(Contacts!$A$2:$A$501,$A25,Contacts!$B$2:$B$501,"*Listing*")+COUNTIFS(Contacts!$A$2:$A$501,$A25,Contacts!$F$2:$F$501,"*listing agent*")=0,"MISSING","OK"))</f>
        <v/>
      </c>
      <c r="H25" s="31">
        <f>IF($A25="","",IF(COUNTIFS(Contacts!$A$2:$A$501,$A25,Contacts!$B$2:$B$501,"*Builder Rep*")+COUNTIFS(Contacts!$A$2:$A$501,$A25,Contacts!$B$2:$B$501,"Sales*")=0,"MISSING","OK"))</f>
        <v/>
      </c>
      <c r="I25" s="31">
        <f>IF($A25="","",IF(COUNTIFS(Contacts!$A$2:$A$501,$A25,Contacts!$B$2:$B$501,"*Docs*")+COUNTIFS(Contacts!$A$2:$A$501,$A25,Contacts!$F$2:$F$501,"*builder doc*")=0,"MISSING","OK"))</f>
        <v/>
      </c>
      <c r="J25" s="31">
        <f>IF($A25="","",IF(COUNTIFS(Contacts!$A$2:$A$501,$A25,Contacts!$B$2:$B$501,"*Appraisal*")+COUNTIFS(Contacts!$A$2:$A$501,$A25,Contacts!$F$2:$F$501,"*apprais*")=0,"MISSING","OK"))</f>
        <v/>
      </c>
      <c r="K25" s="31">
        <f>IF($A25="","",IF(Builders!$B22="","MISSING",IF(COUNTIFS('Title Contacts'!$A$2:$A$601,Builders!$B22,'Title Contacts'!$B$2:$B$601,"*agent*",'Title Contacts'!$C$2:$C$601,"&lt;&gt;")&gt;0,"OK","MISSING")))</f>
        <v/>
      </c>
      <c r="L25" s="31">
        <f>IF($A25="","",IF(Builders!$B22="","MISSING",IF(COUNTIFS('Title Contacts'!$A$2:$A$601,Builders!$B22,'Title Contacts'!$B$2:$B$601,"*assistant*",'Title Contacts'!$C$2:$C$601,"&lt;&gt;")&gt;0,"OK","MISSING")))</f>
        <v/>
      </c>
      <c r="M25" s="31">
        <f>IF($A25="","",COUNTIF(B25:L25,"MISSING"))</f>
        <v/>
      </c>
    </row>
    <row r="26">
      <c r="A26" s="18">
        <f>IF(Builders!$A23="","",Builders!$A23)</f>
        <v/>
      </c>
      <c r="B26" s="31">
        <f>IF($A26="","",IF(Builders!$B23="","MISSING","OK"))</f>
        <v/>
      </c>
      <c r="C26" s="31">
        <f>IF($A26="","",IF(Builders!$C23="","MISSING","OK"))</f>
        <v/>
      </c>
      <c r="D26" s="31">
        <f>IF($A26="","",IF(Builders!$D23="","MISSING","OK"))</f>
        <v/>
      </c>
      <c r="E26" s="31">
        <f>IF($A26="","",IF(Builders!$F23="","MISSING","OK"))</f>
        <v/>
      </c>
      <c r="F26" s="31">
        <f>IF($A26="","",IF(COUNTIFS(Contacts!$A$2:$A$501,$A26,Contacts!$B$2:$B$501,"*Owner*")+COUNTIFS(Contacts!$A$2:$A$501,$A26,Contacts!$F$2:$F$501,"*owner*")=0,"MISSING","OK"))</f>
        <v/>
      </c>
      <c r="G26" s="31">
        <f>IF($A26="","",IF(COUNTIFS(Contacts!$A$2:$A$501,$A26,Contacts!$B$2:$B$501,"*Listing*")+COUNTIFS(Contacts!$A$2:$A$501,$A26,Contacts!$F$2:$F$501,"*listing agent*")=0,"MISSING","OK"))</f>
        <v/>
      </c>
      <c r="H26" s="31">
        <f>IF($A26="","",IF(COUNTIFS(Contacts!$A$2:$A$501,$A26,Contacts!$B$2:$B$501,"*Builder Rep*")+COUNTIFS(Contacts!$A$2:$A$501,$A26,Contacts!$B$2:$B$501,"Sales*")=0,"MISSING","OK"))</f>
        <v/>
      </c>
      <c r="I26" s="31">
        <f>IF($A26="","",IF(COUNTIFS(Contacts!$A$2:$A$501,$A26,Contacts!$B$2:$B$501,"*Docs*")+COUNTIFS(Contacts!$A$2:$A$501,$A26,Contacts!$F$2:$F$501,"*builder doc*")=0,"MISSING","OK"))</f>
        <v/>
      </c>
      <c r="J26" s="31">
        <f>IF($A26="","",IF(COUNTIFS(Contacts!$A$2:$A$501,$A26,Contacts!$B$2:$B$501,"*Appraisal*")+COUNTIFS(Contacts!$A$2:$A$501,$A26,Contacts!$F$2:$F$501,"*apprais*")=0,"MISSING","OK"))</f>
        <v/>
      </c>
      <c r="K26" s="31">
        <f>IF($A26="","",IF(Builders!$B23="","MISSING",IF(COUNTIFS('Title Contacts'!$A$2:$A$601,Builders!$B23,'Title Contacts'!$B$2:$B$601,"*agent*",'Title Contacts'!$C$2:$C$601,"&lt;&gt;")&gt;0,"OK","MISSING")))</f>
        <v/>
      </c>
      <c r="L26" s="31">
        <f>IF($A26="","",IF(Builders!$B23="","MISSING",IF(COUNTIFS('Title Contacts'!$A$2:$A$601,Builders!$B23,'Title Contacts'!$B$2:$B$601,"*assistant*",'Title Contacts'!$C$2:$C$601,"&lt;&gt;")&gt;0,"OK","MISSING")))</f>
        <v/>
      </c>
      <c r="M26" s="31">
        <f>IF($A26="","",COUNTIF(B26:L26,"MISSING"))</f>
        <v/>
      </c>
    </row>
    <row r="27">
      <c r="A27" s="18">
        <f>IF(Builders!$A24="","",Builders!$A24)</f>
        <v/>
      </c>
      <c r="B27" s="31">
        <f>IF($A27="","",IF(Builders!$B24="","MISSING","OK"))</f>
        <v/>
      </c>
      <c r="C27" s="31">
        <f>IF($A27="","",IF(Builders!$C24="","MISSING","OK"))</f>
        <v/>
      </c>
      <c r="D27" s="31">
        <f>IF($A27="","",IF(Builders!$D24="","MISSING","OK"))</f>
        <v/>
      </c>
      <c r="E27" s="31">
        <f>IF($A27="","",IF(Builders!$F24="","MISSING","OK"))</f>
        <v/>
      </c>
      <c r="F27" s="31">
        <f>IF($A27="","",IF(COUNTIFS(Contacts!$A$2:$A$501,$A27,Contacts!$B$2:$B$501,"*Owner*")+COUNTIFS(Contacts!$A$2:$A$501,$A27,Contacts!$F$2:$F$501,"*owner*")=0,"MISSING","OK"))</f>
        <v/>
      </c>
      <c r="G27" s="31">
        <f>IF($A27="","",IF(COUNTIFS(Contacts!$A$2:$A$501,$A27,Contacts!$B$2:$B$501,"*Listing*")+COUNTIFS(Contacts!$A$2:$A$501,$A27,Contacts!$F$2:$F$501,"*listing agent*")=0,"MISSING","OK"))</f>
        <v/>
      </c>
      <c r="H27" s="31">
        <f>IF($A27="","",IF(COUNTIFS(Contacts!$A$2:$A$501,$A27,Contacts!$B$2:$B$501,"*Builder Rep*")+COUNTIFS(Contacts!$A$2:$A$501,$A27,Contacts!$B$2:$B$501,"Sales*")=0,"MISSING","OK"))</f>
        <v/>
      </c>
      <c r="I27" s="31">
        <f>IF($A27="","",IF(COUNTIFS(Contacts!$A$2:$A$501,$A27,Contacts!$B$2:$B$501,"*Docs*")+COUNTIFS(Contacts!$A$2:$A$501,$A27,Contacts!$F$2:$F$501,"*builder doc*")=0,"MISSING","OK"))</f>
        <v/>
      </c>
      <c r="J27" s="31">
        <f>IF($A27="","",IF(COUNTIFS(Contacts!$A$2:$A$501,$A27,Contacts!$B$2:$B$501,"*Appraisal*")+COUNTIFS(Contacts!$A$2:$A$501,$A27,Contacts!$F$2:$F$501,"*apprais*")=0,"MISSING","OK"))</f>
        <v/>
      </c>
      <c r="K27" s="31">
        <f>IF($A27="","",IF(Builders!$B24="","MISSING",IF(COUNTIFS('Title Contacts'!$A$2:$A$601,Builders!$B24,'Title Contacts'!$B$2:$B$601,"*agent*",'Title Contacts'!$C$2:$C$601,"&lt;&gt;")&gt;0,"OK","MISSING")))</f>
        <v/>
      </c>
      <c r="L27" s="31">
        <f>IF($A27="","",IF(Builders!$B24="","MISSING",IF(COUNTIFS('Title Contacts'!$A$2:$A$601,Builders!$B24,'Title Contacts'!$B$2:$B$601,"*assistant*",'Title Contacts'!$C$2:$C$601,"&lt;&gt;")&gt;0,"OK","MISSING")))</f>
        <v/>
      </c>
      <c r="M27" s="31">
        <f>IF($A27="","",COUNTIF(B27:L27,"MISSING"))</f>
        <v/>
      </c>
    </row>
    <row r="28">
      <c r="A28" s="18">
        <f>IF(Builders!$A25="","",Builders!$A25)</f>
        <v/>
      </c>
      <c r="B28" s="31">
        <f>IF($A28="","",IF(Builders!$B25="","MISSING","OK"))</f>
        <v/>
      </c>
      <c r="C28" s="31">
        <f>IF($A28="","",IF(Builders!$C25="","MISSING","OK"))</f>
        <v/>
      </c>
      <c r="D28" s="31">
        <f>IF($A28="","",IF(Builders!$D25="","MISSING","OK"))</f>
        <v/>
      </c>
      <c r="E28" s="31">
        <f>IF($A28="","",IF(Builders!$F25="","MISSING","OK"))</f>
        <v/>
      </c>
      <c r="F28" s="31">
        <f>IF($A28="","",IF(COUNTIFS(Contacts!$A$2:$A$501,$A28,Contacts!$B$2:$B$501,"*Owner*")+COUNTIFS(Contacts!$A$2:$A$501,$A28,Contacts!$F$2:$F$501,"*owner*")=0,"MISSING","OK"))</f>
        <v/>
      </c>
      <c r="G28" s="31">
        <f>IF($A28="","",IF(COUNTIFS(Contacts!$A$2:$A$501,$A28,Contacts!$B$2:$B$501,"*Listing*")+COUNTIFS(Contacts!$A$2:$A$501,$A28,Contacts!$F$2:$F$501,"*listing agent*")=0,"MISSING","OK"))</f>
        <v/>
      </c>
      <c r="H28" s="31">
        <f>IF($A28="","",IF(COUNTIFS(Contacts!$A$2:$A$501,$A28,Contacts!$B$2:$B$501,"*Builder Rep*")+COUNTIFS(Contacts!$A$2:$A$501,$A28,Contacts!$B$2:$B$501,"Sales*")=0,"MISSING","OK"))</f>
        <v/>
      </c>
      <c r="I28" s="31">
        <f>IF($A28="","",IF(COUNTIFS(Contacts!$A$2:$A$501,$A28,Contacts!$B$2:$B$501,"*Docs*")+COUNTIFS(Contacts!$A$2:$A$501,$A28,Contacts!$F$2:$F$501,"*builder doc*")=0,"MISSING","OK"))</f>
        <v/>
      </c>
      <c r="J28" s="31">
        <f>IF($A28="","",IF(COUNTIFS(Contacts!$A$2:$A$501,$A28,Contacts!$B$2:$B$501,"*Appraisal*")+COUNTIFS(Contacts!$A$2:$A$501,$A28,Contacts!$F$2:$F$501,"*apprais*")=0,"MISSING","OK"))</f>
        <v/>
      </c>
      <c r="K28" s="31">
        <f>IF($A28="","",IF(Builders!$B25="","MISSING",IF(COUNTIFS('Title Contacts'!$A$2:$A$601,Builders!$B25,'Title Contacts'!$B$2:$B$601,"*agent*",'Title Contacts'!$C$2:$C$601,"&lt;&gt;")&gt;0,"OK","MISSING")))</f>
        <v/>
      </c>
      <c r="L28" s="31">
        <f>IF($A28="","",IF(Builders!$B25="","MISSING",IF(COUNTIFS('Title Contacts'!$A$2:$A$601,Builders!$B25,'Title Contacts'!$B$2:$B$601,"*assistant*",'Title Contacts'!$C$2:$C$601,"&lt;&gt;")&gt;0,"OK","MISSING")))</f>
        <v/>
      </c>
      <c r="M28" s="31">
        <f>IF($A28="","",COUNTIF(B28:L28,"MISSING"))</f>
        <v/>
      </c>
    </row>
    <row r="29">
      <c r="A29" s="18">
        <f>IF(Builders!$A26="","",Builders!$A26)</f>
        <v/>
      </c>
      <c r="B29" s="31">
        <f>IF($A29="","",IF(Builders!$B26="","MISSING","OK"))</f>
        <v/>
      </c>
      <c r="C29" s="31">
        <f>IF($A29="","",IF(Builders!$C26="","MISSING","OK"))</f>
        <v/>
      </c>
      <c r="D29" s="31">
        <f>IF($A29="","",IF(Builders!$D26="","MISSING","OK"))</f>
        <v/>
      </c>
      <c r="E29" s="31">
        <f>IF($A29="","",IF(Builders!$F26="","MISSING","OK"))</f>
        <v/>
      </c>
      <c r="F29" s="31">
        <f>IF($A29="","",IF(COUNTIFS(Contacts!$A$2:$A$501,$A29,Contacts!$B$2:$B$501,"*Owner*")+COUNTIFS(Contacts!$A$2:$A$501,$A29,Contacts!$F$2:$F$501,"*owner*")=0,"MISSING","OK"))</f>
        <v/>
      </c>
      <c r="G29" s="31">
        <f>IF($A29="","",IF(COUNTIFS(Contacts!$A$2:$A$501,$A29,Contacts!$B$2:$B$501,"*Listing*")+COUNTIFS(Contacts!$A$2:$A$501,$A29,Contacts!$F$2:$F$501,"*listing agent*")=0,"MISSING","OK"))</f>
        <v/>
      </c>
      <c r="H29" s="31">
        <f>IF($A29="","",IF(COUNTIFS(Contacts!$A$2:$A$501,$A29,Contacts!$B$2:$B$501,"*Builder Rep*")+COUNTIFS(Contacts!$A$2:$A$501,$A29,Contacts!$B$2:$B$501,"Sales*")=0,"MISSING","OK"))</f>
        <v/>
      </c>
      <c r="I29" s="31">
        <f>IF($A29="","",IF(COUNTIFS(Contacts!$A$2:$A$501,$A29,Contacts!$B$2:$B$501,"*Docs*")+COUNTIFS(Contacts!$A$2:$A$501,$A29,Contacts!$F$2:$F$501,"*builder doc*")=0,"MISSING","OK"))</f>
        <v/>
      </c>
      <c r="J29" s="31">
        <f>IF($A29="","",IF(COUNTIFS(Contacts!$A$2:$A$501,$A29,Contacts!$B$2:$B$501,"*Appraisal*")+COUNTIFS(Contacts!$A$2:$A$501,$A29,Contacts!$F$2:$F$501,"*apprais*")=0,"MISSING","OK"))</f>
        <v/>
      </c>
      <c r="K29" s="31">
        <f>IF($A29="","",IF(Builders!$B26="","MISSING",IF(COUNTIFS('Title Contacts'!$A$2:$A$601,Builders!$B26,'Title Contacts'!$B$2:$B$601,"*agent*",'Title Contacts'!$C$2:$C$601,"&lt;&gt;")&gt;0,"OK","MISSING")))</f>
        <v/>
      </c>
      <c r="L29" s="31">
        <f>IF($A29="","",IF(Builders!$B26="","MISSING",IF(COUNTIFS('Title Contacts'!$A$2:$A$601,Builders!$B26,'Title Contacts'!$B$2:$B$601,"*assistant*",'Title Contacts'!$C$2:$C$601,"&lt;&gt;")&gt;0,"OK","MISSING")))</f>
        <v/>
      </c>
      <c r="M29" s="31">
        <f>IF($A29="","",COUNTIF(B29:L29,"MISSING"))</f>
        <v/>
      </c>
    </row>
    <row r="30">
      <c r="A30" s="18">
        <f>IF(Builders!$A27="","",Builders!$A27)</f>
        <v/>
      </c>
      <c r="B30" s="31">
        <f>IF($A30="","",IF(Builders!$B27="","MISSING","OK"))</f>
        <v/>
      </c>
      <c r="C30" s="31">
        <f>IF($A30="","",IF(Builders!$C27="","MISSING","OK"))</f>
        <v/>
      </c>
      <c r="D30" s="31">
        <f>IF($A30="","",IF(Builders!$D27="","MISSING","OK"))</f>
        <v/>
      </c>
      <c r="E30" s="31">
        <f>IF($A30="","",IF(Builders!$F27="","MISSING","OK"))</f>
        <v/>
      </c>
      <c r="F30" s="31">
        <f>IF($A30="","",IF(COUNTIFS(Contacts!$A$2:$A$501,$A30,Contacts!$B$2:$B$501,"*Owner*")+COUNTIFS(Contacts!$A$2:$A$501,$A30,Contacts!$F$2:$F$501,"*owner*")=0,"MISSING","OK"))</f>
        <v/>
      </c>
      <c r="G30" s="31">
        <f>IF($A30="","",IF(COUNTIFS(Contacts!$A$2:$A$501,$A30,Contacts!$B$2:$B$501,"*Listing*")+COUNTIFS(Contacts!$A$2:$A$501,$A30,Contacts!$F$2:$F$501,"*listing agent*")=0,"MISSING","OK"))</f>
        <v/>
      </c>
      <c r="H30" s="31">
        <f>IF($A30="","",IF(COUNTIFS(Contacts!$A$2:$A$501,$A30,Contacts!$B$2:$B$501,"*Builder Rep*")+COUNTIFS(Contacts!$A$2:$A$501,$A30,Contacts!$B$2:$B$501,"Sales*")=0,"MISSING","OK"))</f>
        <v/>
      </c>
      <c r="I30" s="31">
        <f>IF($A30="","",IF(COUNTIFS(Contacts!$A$2:$A$501,$A30,Contacts!$B$2:$B$501,"*Docs*")+COUNTIFS(Contacts!$A$2:$A$501,$A30,Contacts!$F$2:$F$501,"*builder doc*")=0,"MISSING","OK"))</f>
        <v/>
      </c>
      <c r="J30" s="31">
        <f>IF($A30="","",IF(COUNTIFS(Contacts!$A$2:$A$501,$A30,Contacts!$B$2:$B$501,"*Appraisal*")+COUNTIFS(Contacts!$A$2:$A$501,$A30,Contacts!$F$2:$F$501,"*apprais*")=0,"MISSING","OK"))</f>
        <v/>
      </c>
      <c r="K30" s="31">
        <f>IF($A30="","",IF(Builders!$B27="","MISSING",IF(COUNTIFS('Title Contacts'!$A$2:$A$601,Builders!$B27,'Title Contacts'!$B$2:$B$601,"*agent*",'Title Contacts'!$C$2:$C$601,"&lt;&gt;")&gt;0,"OK","MISSING")))</f>
        <v/>
      </c>
      <c r="L30" s="31">
        <f>IF($A30="","",IF(Builders!$B27="","MISSING",IF(COUNTIFS('Title Contacts'!$A$2:$A$601,Builders!$B27,'Title Contacts'!$B$2:$B$601,"*assistant*",'Title Contacts'!$C$2:$C$601,"&lt;&gt;")&gt;0,"OK","MISSING")))</f>
        <v/>
      </c>
      <c r="M30" s="31">
        <f>IF($A30="","",COUNTIF(B30:L30,"MISSING"))</f>
        <v/>
      </c>
    </row>
    <row r="31">
      <c r="A31" s="18">
        <f>IF(Builders!$A28="","",Builders!$A28)</f>
        <v/>
      </c>
      <c r="B31" s="31">
        <f>IF($A31="","",IF(Builders!$B28="","MISSING","OK"))</f>
        <v/>
      </c>
      <c r="C31" s="31">
        <f>IF($A31="","",IF(Builders!$C28="","MISSING","OK"))</f>
        <v/>
      </c>
      <c r="D31" s="31">
        <f>IF($A31="","",IF(Builders!$D28="","MISSING","OK"))</f>
        <v/>
      </c>
      <c r="E31" s="31">
        <f>IF($A31="","",IF(Builders!$F28="","MISSING","OK"))</f>
        <v/>
      </c>
      <c r="F31" s="31">
        <f>IF($A31="","",IF(COUNTIFS(Contacts!$A$2:$A$501,$A31,Contacts!$B$2:$B$501,"*Owner*")+COUNTIFS(Contacts!$A$2:$A$501,$A31,Contacts!$F$2:$F$501,"*owner*")=0,"MISSING","OK"))</f>
        <v/>
      </c>
      <c r="G31" s="31">
        <f>IF($A31="","",IF(COUNTIFS(Contacts!$A$2:$A$501,$A31,Contacts!$B$2:$B$501,"*Listing*")+COUNTIFS(Contacts!$A$2:$A$501,$A31,Contacts!$F$2:$F$501,"*listing agent*")=0,"MISSING","OK"))</f>
        <v/>
      </c>
      <c r="H31" s="31">
        <f>IF($A31="","",IF(COUNTIFS(Contacts!$A$2:$A$501,$A31,Contacts!$B$2:$B$501,"*Builder Rep*")+COUNTIFS(Contacts!$A$2:$A$501,$A31,Contacts!$B$2:$B$501,"Sales*")=0,"MISSING","OK"))</f>
        <v/>
      </c>
      <c r="I31" s="31">
        <f>IF($A31="","",IF(COUNTIFS(Contacts!$A$2:$A$501,$A31,Contacts!$B$2:$B$501,"*Docs*")+COUNTIFS(Contacts!$A$2:$A$501,$A31,Contacts!$F$2:$F$501,"*builder doc*")=0,"MISSING","OK"))</f>
        <v/>
      </c>
      <c r="J31" s="31">
        <f>IF($A31="","",IF(COUNTIFS(Contacts!$A$2:$A$501,$A31,Contacts!$B$2:$B$501,"*Appraisal*")+COUNTIFS(Contacts!$A$2:$A$501,$A31,Contacts!$F$2:$F$501,"*apprais*")=0,"MISSING","OK"))</f>
        <v/>
      </c>
      <c r="K31" s="31">
        <f>IF($A31="","",IF(Builders!$B28="","MISSING",IF(COUNTIFS('Title Contacts'!$A$2:$A$601,Builders!$B28,'Title Contacts'!$B$2:$B$601,"*agent*",'Title Contacts'!$C$2:$C$601,"&lt;&gt;")&gt;0,"OK","MISSING")))</f>
        <v/>
      </c>
      <c r="L31" s="31">
        <f>IF($A31="","",IF(Builders!$B28="","MISSING",IF(COUNTIFS('Title Contacts'!$A$2:$A$601,Builders!$B28,'Title Contacts'!$B$2:$B$601,"*assistant*",'Title Contacts'!$C$2:$C$601,"&lt;&gt;")&gt;0,"OK","MISSING")))</f>
        <v/>
      </c>
      <c r="M31" s="31">
        <f>IF($A31="","",COUNTIF(B31:L31,"MISSING"))</f>
        <v/>
      </c>
    </row>
    <row r="32">
      <c r="A32" s="18">
        <f>IF(Builders!$A29="","",Builders!$A29)</f>
        <v/>
      </c>
      <c r="B32" s="31">
        <f>IF($A32="","",IF(Builders!$B29="","MISSING","OK"))</f>
        <v/>
      </c>
      <c r="C32" s="31">
        <f>IF($A32="","",IF(Builders!$C29="","MISSING","OK"))</f>
        <v/>
      </c>
      <c r="D32" s="31">
        <f>IF($A32="","",IF(Builders!$D29="","MISSING","OK"))</f>
        <v/>
      </c>
      <c r="E32" s="31">
        <f>IF($A32="","",IF(Builders!$F29="","MISSING","OK"))</f>
        <v/>
      </c>
      <c r="F32" s="31">
        <f>IF($A32="","",IF(COUNTIFS(Contacts!$A$2:$A$501,$A32,Contacts!$B$2:$B$501,"*Owner*")+COUNTIFS(Contacts!$A$2:$A$501,$A32,Contacts!$F$2:$F$501,"*owner*")=0,"MISSING","OK"))</f>
        <v/>
      </c>
      <c r="G32" s="31">
        <f>IF($A32="","",IF(COUNTIFS(Contacts!$A$2:$A$501,$A32,Contacts!$B$2:$B$501,"*Listing*")+COUNTIFS(Contacts!$A$2:$A$501,$A32,Contacts!$F$2:$F$501,"*listing agent*")=0,"MISSING","OK"))</f>
        <v/>
      </c>
      <c r="H32" s="31">
        <f>IF($A32="","",IF(COUNTIFS(Contacts!$A$2:$A$501,$A32,Contacts!$B$2:$B$501,"*Builder Rep*")+COUNTIFS(Contacts!$A$2:$A$501,$A32,Contacts!$B$2:$B$501,"Sales*")=0,"MISSING","OK"))</f>
        <v/>
      </c>
      <c r="I32" s="31">
        <f>IF($A32="","",IF(COUNTIFS(Contacts!$A$2:$A$501,$A32,Contacts!$B$2:$B$501,"*Docs*")+COUNTIFS(Contacts!$A$2:$A$501,$A32,Contacts!$F$2:$F$501,"*builder doc*")=0,"MISSING","OK"))</f>
        <v/>
      </c>
      <c r="J32" s="31">
        <f>IF($A32="","",IF(COUNTIFS(Contacts!$A$2:$A$501,$A32,Contacts!$B$2:$B$501,"*Appraisal*")+COUNTIFS(Contacts!$A$2:$A$501,$A32,Contacts!$F$2:$F$501,"*apprais*")=0,"MISSING","OK"))</f>
        <v/>
      </c>
      <c r="K32" s="31">
        <f>IF($A32="","",IF(Builders!$B29="","MISSING",IF(COUNTIFS('Title Contacts'!$A$2:$A$601,Builders!$B29,'Title Contacts'!$B$2:$B$601,"*agent*",'Title Contacts'!$C$2:$C$601,"&lt;&gt;")&gt;0,"OK","MISSING")))</f>
        <v/>
      </c>
      <c r="L32" s="31">
        <f>IF($A32="","",IF(Builders!$B29="","MISSING",IF(COUNTIFS('Title Contacts'!$A$2:$A$601,Builders!$B29,'Title Contacts'!$B$2:$B$601,"*assistant*",'Title Contacts'!$C$2:$C$601,"&lt;&gt;")&gt;0,"OK","MISSING")))</f>
        <v/>
      </c>
      <c r="M32" s="31">
        <f>IF($A32="","",COUNTIF(B32:L32,"MISSING"))</f>
        <v/>
      </c>
    </row>
    <row r="33">
      <c r="A33" s="18">
        <f>IF(Builders!$A30="","",Builders!$A30)</f>
        <v/>
      </c>
      <c r="B33" s="31">
        <f>IF($A33="","",IF(Builders!$B30="","MISSING","OK"))</f>
        <v/>
      </c>
      <c r="C33" s="31">
        <f>IF($A33="","",IF(Builders!$C30="","MISSING","OK"))</f>
        <v/>
      </c>
      <c r="D33" s="31">
        <f>IF($A33="","",IF(Builders!$D30="","MISSING","OK"))</f>
        <v/>
      </c>
      <c r="E33" s="31">
        <f>IF($A33="","",IF(Builders!$F30="","MISSING","OK"))</f>
        <v/>
      </c>
      <c r="F33" s="31">
        <f>IF($A33="","",IF(COUNTIFS(Contacts!$A$2:$A$501,$A33,Contacts!$B$2:$B$501,"*Owner*")+COUNTIFS(Contacts!$A$2:$A$501,$A33,Contacts!$F$2:$F$501,"*owner*")=0,"MISSING","OK"))</f>
        <v/>
      </c>
      <c r="G33" s="31">
        <f>IF($A33="","",IF(COUNTIFS(Contacts!$A$2:$A$501,$A33,Contacts!$B$2:$B$501,"*Listing*")+COUNTIFS(Contacts!$A$2:$A$501,$A33,Contacts!$F$2:$F$501,"*listing agent*")=0,"MISSING","OK"))</f>
        <v/>
      </c>
      <c r="H33" s="31">
        <f>IF($A33="","",IF(COUNTIFS(Contacts!$A$2:$A$501,$A33,Contacts!$B$2:$B$501,"*Builder Rep*")+COUNTIFS(Contacts!$A$2:$A$501,$A33,Contacts!$B$2:$B$501,"Sales*")=0,"MISSING","OK"))</f>
        <v/>
      </c>
      <c r="I33" s="31">
        <f>IF($A33="","",IF(COUNTIFS(Contacts!$A$2:$A$501,$A33,Contacts!$B$2:$B$501,"*Docs*")+COUNTIFS(Contacts!$A$2:$A$501,$A33,Contacts!$F$2:$F$501,"*builder doc*")=0,"MISSING","OK"))</f>
        <v/>
      </c>
      <c r="J33" s="31">
        <f>IF($A33="","",IF(COUNTIFS(Contacts!$A$2:$A$501,$A33,Contacts!$B$2:$B$501,"*Appraisal*")+COUNTIFS(Contacts!$A$2:$A$501,$A33,Contacts!$F$2:$F$501,"*apprais*")=0,"MISSING","OK"))</f>
        <v/>
      </c>
      <c r="K33" s="31">
        <f>IF($A33="","",IF(Builders!$B30="","MISSING",IF(COUNTIFS('Title Contacts'!$A$2:$A$601,Builders!$B30,'Title Contacts'!$B$2:$B$601,"*agent*",'Title Contacts'!$C$2:$C$601,"&lt;&gt;")&gt;0,"OK","MISSING")))</f>
        <v/>
      </c>
      <c r="L33" s="31">
        <f>IF($A33="","",IF(Builders!$B30="","MISSING",IF(COUNTIFS('Title Contacts'!$A$2:$A$601,Builders!$B30,'Title Contacts'!$B$2:$B$601,"*assistant*",'Title Contacts'!$C$2:$C$601,"&lt;&gt;")&gt;0,"OK","MISSING")))</f>
        <v/>
      </c>
      <c r="M33" s="31">
        <f>IF($A33="","",COUNTIF(B33:L33,"MISSING"))</f>
        <v/>
      </c>
    </row>
    <row r="34">
      <c r="A34" s="18">
        <f>IF(Builders!$A31="","",Builders!$A31)</f>
        <v/>
      </c>
      <c r="B34" s="31">
        <f>IF($A34="","",IF(Builders!$B31="","MISSING","OK"))</f>
        <v/>
      </c>
      <c r="C34" s="31">
        <f>IF($A34="","",IF(Builders!$C31="","MISSING","OK"))</f>
        <v/>
      </c>
      <c r="D34" s="31">
        <f>IF($A34="","",IF(Builders!$D31="","MISSING","OK"))</f>
        <v/>
      </c>
      <c r="E34" s="31">
        <f>IF($A34="","",IF(Builders!$F31="","MISSING","OK"))</f>
        <v/>
      </c>
      <c r="F34" s="31">
        <f>IF($A34="","",IF(COUNTIFS(Contacts!$A$2:$A$501,$A34,Contacts!$B$2:$B$501,"*Owner*")+COUNTIFS(Contacts!$A$2:$A$501,$A34,Contacts!$F$2:$F$501,"*owner*")=0,"MISSING","OK"))</f>
        <v/>
      </c>
      <c r="G34" s="31">
        <f>IF($A34="","",IF(COUNTIFS(Contacts!$A$2:$A$501,$A34,Contacts!$B$2:$B$501,"*Listing*")+COUNTIFS(Contacts!$A$2:$A$501,$A34,Contacts!$F$2:$F$501,"*listing agent*")=0,"MISSING","OK"))</f>
        <v/>
      </c>
      <c r="H34" s="31">
        <f>IF($A34="","",IF(COUNTIFS(Contacts!$A$2:$A$501,$A34,Contacts!$B$2:$B$501,"*Builder Rep*")+COUNTIFS(Contacts!$A$2:$A$501,$A34,Contacts!$B$2:$B$501,"Sales*")=0,"MISSING","OK"))</f>
        <v/>
      </c>
      <c r="I34" s="31">
        <f>IF($A34="","",IF(COUNTIFS(Contacts!$A$2:$A$501,$A34,Contacts!$B$2:$B$501,"*Docs*")+COUNTIFS(Contacts!$A$2:$A$501,$A34,Contacts!$F$2:$F$501,"*builder doc*")=0,"MISSING","OK"))</f>
        <v/>
      </c>
      <c r="J34" s="31">
        <f>IF($A34="","",IF(COUNTIFS(Contacts!$A$2:$A$501,$A34,Contacts!$B$2:$B$501,"*Appraisal*")+COUNTIFS(Contacts!$A$2:$A$501,$A34,Contacts!$F$2:$F$501,"*apprais*")=0,"MISSING","OK"))</f>
        <v/>
      </c>
      <c r="K34" s="31">
        <f>IF($A34="","",IF(Builders!$B31="","MISSING",IF(COUNTIFS('Title Contacts'!$A$2:$A$601,Builders!$B31,'Title Contacts'!$B$2:$B$601,"*agent*",'Title Contacts'!$C$2:$C$601,"&lt;&gt;")&gt;0,"OK","MISSING")))</f>
        <v/>
      </c>
      <c r="L34" s="31">
        <f>IF($A34="","",IF(Builders!$B31="","MISSING",IF(COUNTIFS('Title Contacts'!$A$2:$A$601,Builders!$B31,'Title Contacts'!$B$2:$B$601,"*assistant*",'Title Contacts'!$C$2:$C$601,"&lt;&gt;")&gt;0,"OK","MISSING")))</f>
        <v/>
      </c>
      <c r="M34" s="31">
        <f>IF($A34="","",COUNTIF(B34:L34,"MISSING"))</f>
        <v/>
      </c>
    </row>
    <row r="35">
      <c r="A35" s="18">
        <f>IF(Builders!$A32="","",Builders!$A32)</f>
        <v/>
      </c>
      <c r="B35" s="31">
        <f>IF($A35="","",IF(Builders!$B32="","MISSING","OK"))</f>
        <v/>
      </c>
      <c r="C35" s="31">
        <f>IF($A35="","",IF(Builders!$C32="","MISSING","OK"))</f>
        <v/>
      </c>
      <c r="D35" s="31">
        <f>IF($A35="","",IF(Builders!$D32="","MISSING","OK"))</f>
        <v/>
      </c>
      <c r="E35" s="31">
        <f>IF($A35="","",IF(Builders!$F32="","MISSING","OK"))</f>
        <v/>
      </c>
      <c r="F35" s="31">
        <f>IF($A35="","",IF(COUNTIFS(Contacts!$A$2:$A$501,$A35,Contacts!$B$2:$B$501,"*Owner*")+COUNTIFS(Contacts!$A$2:$A$501,$A35,Contacts!$F$2:$F$501,"*owner*")=0,"MISSING","OK"))</f>
        <v/>
      </c>
      <c r="G35" s="31">
        <f>IF($A35="","",IF(COUNTIFS(Contacts!$A$2:$A$501,$A35,Contacts!$B$2:$B$501,"*Listing*")+COUNTIFS(Contacts!$A$2:$A$501,$A35,Contacts!$F$2:$F$501,"*listing agent*")=0,"MISSING","OK"))</f>
        <v/>
      </c>
      <c r="H35" s="31">
        <f>IF($A35="","",IF(COUNTIFS(Contacts!$A$2:$A$501,$A35,Contacts!$B$2:$B$501,"*Builder Rep*")+COUNTIFS(Contacts!$A$2:$A$501,$A35,Contacts!$B$2:$B$501,"Sales*")=0,"MISSING","OK"))</f>
        <v/>
      </c>
      <c r="I35" s="31">
        <f>IF($A35="","",IF(COUNTIFS(Contacts!$A$2:$A$501,$A35,Contacts!$B$2:$B$501,"*Docs*")+COUNTIFS(Contacts!$A$2:$A$501,$A35,Contacts!$F$2:$F$501,"*builder doc*")=0,"MISSING","OK"))</f>
        <v/>
      </c>
      <c r="J35" s="31">
        <f>IF($A35="","",IF(COUNTIFS(Contacts!$A$2:$A$501,$A35,Contacts!$B$2:$B$501,"*Appraisal*")+COUNTIFS(Contacts!$A$2:$A$501,$A35,Contacts!$F$2:$F$501,"*apprais*")=0,"MISSING","OK"))</f>
        <v/>
      </c>
      <c r="K35" s="31">
        <f>IF($A35="","",IF(Builders!$B32="","MISSING",IF(COUNTIFS('Title Contacts'!$A$2:$A$601,Builders!$B32,'Title Contacts'!$B$2:$B$601,"*agent*",'Title Contacts'!$C$2:$C$601,"&lt;&gt;")&gt;0,"OK","MISSING")))</f>
        <v/>
      </c>
      <c r="L35" s="31">
        <f>IF($A35="","",IF(Builders!$B32="","MISSING",IF(COUNTIFS('Title Contacts'!$A$2:$A$601,Builders!$B32,'Title Contacts'!$B$2:$B$601,"*assistant*",'Title Contacts'!$C$2:$C$601,"&lt;&gt;")&gt;0,"OK","MISSING")))</f>
        <v/>
      </c>
      <c r="M35" s="31">
        <f>IF($A35="","",COUNTIF(B35:L35,"MISSING"))</f>
        <v/>
      </c>
    </row>
    <row r="36">
      <c r="A36" s="18">
        <f>IF(Builders!$A33="","",Builders!$A33)</f>
        <v/>
      </c>
      <c r="B36" s="31">
        <f>IF($A36="","",IF(Builders!$B33="","MISSING","OK"))</f>
        <v/>
      </c>
      <c r="C36" s="31">
        <f>IF($A36="","",IF(Builders!$C33="","MISSING","OK"))</f>
        <v/>
      </c>
      <c r="D36" s="31">
        <f>IF($A36="","",IF(Builders!$D33="","MISSING","OK"))</f>
        <v/>
      </c>
      <c r="E36" s="31">
        <f>IF($A36="","",IF(Builders!$F33="","MISSING","OK"))</f>
        <v/>
      </c>
      <c r="F36" s="31">
        <f>IF($A36="","",IF(COUNTIFS(Contacts!$A$2:$A$501,$A36,Contacts!$B$2:$B$501,"*Owner*")+COUNTIFS(Contacts!$A$2:$A$501,$A36,Contacts!$F$2:$F$501,"*owner*")=0,"MISSING","OK"))</f>
        <v/>
      </c>
      <c r="G36" s="31">
        <f>IF($A36="","",IF(COUNTIFS(Contacts!$A$2:$A$501,$A36,Contacts!$B$2:$B$501,"*Listing*")+COUNTIFS(Contacts!$A$2:$A$501,$A36,Contacts!$F$2:$F$501,"*listing agent*")=0,"MISSING","OK"))</f>
        <v/>
      </c>
      <c r="H36" s="31">
        <f>IF($A36="","",IF(COUNTIFS(Contacts!$A$2:$A$501,$A36,Contacts!$B$2:$B$501,"*Builder Rep*")+COUNTIFS(Contacts!$A$2:$A$501,$A36,Contacts!$B$2:$B$501,"Sales*")=0,"MISSING","OK"))</f>
        <v/>
      </c>
      <c r="I36" s="31">
        <f>IF($A36="","",IF(COUNTIFS(Contacts!$A$2:$A$501,$A36,Contacts!$B$2:$B$501,"*Docs*")+COUNTIFS(Contacts!$A$2:$A$501,$A36,Contacts!$F$2:$F$501,"*builder doc*")=0,"MISSING","OK"))</f>
        <v/>
      </c>
      <c r="J36" s="31">
        <f>IF($A36="","",IF(COUNTIFS(Contacts!$A$2:$A$501,$A36,Contacts!$B$2:$B$501,"*Appraisal*")+COUNTIFS(Contacts!$A$2:$A$501,$A36,Contacts!$F$2:$F$501,"*apprais*")=0,"MISSING","OK"))</f>
        <v/>
      </c>
      <c r="K36" s="31">
        <f>IF($A36="","",IF(Builders!$B33="","MISSING",IF(COUNTIFS('Title Contacts'!$A$2:$A$601,Builders!$B33,'Title Contacts'!$B$2:$B$601,"*agent*",'Title Contacts'!$C$2:$C$601,"&lt;&gt;")&gt;0,"OK","MISSING")))</f>
        <v/>
      </c>
      <c r="L36" s="31">
        <f>IF($A36="","",IF(Builders!$B33="","MISSING",IF(COUNTIFS('Title Contacts'!$A$2:$A$601,Builders!$B33,'Title Contacts'!$B$2:$B$601,"*assistant*",'Title Contacts'!$C$2:$C$601,"&lt;&gt;")&gt;0,"OK","MISSING")))</f>
        <v/>
      </c>
      <c r="M36" s="31">
        <f>IF($A36="","",COUNTIF(B36:L36,"MISSING"))</f>
        <v/>
      </c>
    </row>
    <row r="37">
      <c r="A37" s="18">
        <f>IF(Builders!$A34="","",Builders!$A34)</f>
        <v/>
      </c>
      <c r="B37" s="31">
        <f>IF($A37="","",IF(Builders!$B34="","MISSING","OK"))</f>
        <v/>
      </c>
      <c r="C37" s="31">
        <f>IF($A37="","",IF(Builders!$C34="","MISSING","OK"))</f>
        <v/>
      </c>
      <c r="D37" s="31">
        <f>IF($A37="","",IF(Builders!$D34="","MISSING","OK"))</f>
        <v/>
      </c>
      <c r="E37" s="31">
        <f>IF($A37="","",IF(Builders!$F34="","MISSING","OK"))</f>
        <v/>
      </c>
      <c r="F37" s="31">
        <f>IF($A37="","",IF(COUNTIFS(Contacts!$A$2:$A$501,$A37,Contacts!$B$2:$B$501,"*Owner*")+COUNTIFS(Contacts!$A$2:$A$501,$A37,Contacts!$F$2:$F$501,"*owner*")=0,"MISSING","OK"))</f>
        <v/>
      </c>
      <c r="G37" s="31">
        <f>IF($A37="","",IF(COUNTIFS(Contacts!$A$2:$A$501,$A37,Contacts!$B$2:$B$501,"*Listing*")+COUNTIFS(Contacts!$A$2:$A$501,$A37,Contacts!$F$2:$F$501,"*listing agent*")=0,"MISSING","OK"))</f>
        <v/>
      </c>
      <c r="H37" s="31">
        <f>IF($A37="","",IF(COUNTIFS(Contacts!$A$2:$A$501,$A37,Contacts!$B$2:$B$501,"*Builder Rep*")+COUNTIFS(Contacts!$A$2:$A$501,$A37,Contacts!$B$2:$B$501,"Sales*")=0,"MISSING","OK"))</f>
        <v/>
      </c>
      <c r="I37" s="31">
        <f>IF($A37="","",IF(COUNTIFS(Contacts!$A$2:$A$501,$A37,Contacts!$B$2:$B$501,"*Docs*")+COUNTIFS(Contacts!$A$2:$A$501,$A37,Contacts!$F$2:$F$501,"*builder doc*")=0,"MISSING","OK"))</f>
        <v/>
      </c>
      <c r="J37" s="31">
        <f>IF($A37="","",IF(COUNTIFS(Contacts!$A$2:$A$501,$A37,Contacts!$B$2:$B$501,"*Appraisal*")+COUNTIFS(Contacts!$A$2:$A$501,$A37,Contacts!$F$2:$F$501,"*apprais*")=0,"MISSING","OK"))</f>
        <v/>
      </c>
      <c r="K37" s="31">
        <f>IF($A37="","",IF(Builders!$B34="","MISSING",IF(COUNTIFS('Title Contacts'!$A$2:$A$601,Builders!$B34,'Title Contacts'!$B$2:$B$601,"*agent*",'Title Contacts'!$C$2:$C$601,"&lt;&gt;")&gt;0,"OK","MISSING")))</f>
        <v/>
      </c>
      <c r="L37" s="31">
        <f>IF($A37="","",IF(Builders!$B34="","MISSING",IF(COUNTIFS('Title Contacts'!$A$2:$A$601,Builders!$B34,'Title Contacts'!$B$2:$B$601,"*assistant*",'Title Contacts'!$C$2:$C$601,"&lt;&gt;")&gt;0,"OK","MISSING")))</f>
        <v/>
      </c>
      <c r="M37" s="31">
        <f>IF($A37="","",COUNTIF(B37:L37,"MISSING"))</f>
        <v/>
      </c>
    </row>
    <row r="38">
      <c r="A38" s="18">
        <f>IF(Builders!$A35="","",Builders!$A35)</f>
        <v/>
      </c>
      <c r="B38" s="31">
        <f>IF($A38="","",IF(Builders!$B35="","MISSING","OK"))</f>
        <v/>
      </c>
      <c r="C38" s="31">
        <f>IF($A38="","",IF(Builders!$C35="","MISSING","OK"))</f>
        <v/>
      </c>
      <c r="D38" s="31">
        <f>IF($A38="","",IF(Builders!$D35="","MISSING","OK"))</f>
        <v/>
      </c>
      <c r="E38" s="31">
        <f>IF($A38="","",IF(Builders!$F35="","MISSING","OK"))</f>
        <v/>
      </c>
      <c r="F38" s="31">
        <f>IF($A38="","",IF(COUNTIFS(Contacts!$A$2:$A$501,$A38,Contacts!$B$2:$B$501,"*Owner*")+COUNTIFS(Contacts!$A$2:$A$501,$A38,Contacts!$F$2:$F$501,"*owner*")=0,"MISSING","OK"))</f>
        <v/>
      </c>
      <c r="G38" s="31">
        <f>IF($A38="","",IF(COUNTIFS(Contacts!$A$2:$A$501,$A38,Contacts!$B$2:$B$501,"*Listing*")+COUNTIFS(Contacts!$A$2:$A$501,$A38,Contacts!$F$2:$F$501,"*listing agent*")=0,"MISSING","OK"))</f>
        <v/>
      </c>
      <c r="H38" s="31">
        <f>IF($A38="","",IF(COUNTIFS(Contacts!$A$2:$A$501,$A38,Contacts!$B$2:$B$501,"*Builder Rep*")+COUNTIFS(Contacts!$A$2:$A$501,$A38,Contacts!$B$2:$B$501,"Sales*")=0,"MISSING","OK"))</f>
        <v/>
      </c>
      <c r="I38" s="31">
        <f>IF($A38="","",IF(COUNTIFS(Contacts!$A$2:$A$501,$A38,Contacts!$B$2:$B$501,"*Docs*")+COUNTIFS(Contacts!$A$2:$A$501,$A38,Contacts!$F$2:$F$501,"*builder doc*")=0,"MISSING","OK"))</f>
        <v/>
      </c>
      <c r="J38" s="31">
        <f>IF($A38="","",IF(COUNTIFS(Contacts!$A$2:$A$501,$A38,Contacts!$B$2:$B$501,"*Appraisal*")+COUNTIFS(Contacts!$A$2:$A$501,$A38,Contacts!$F$2:$F$501,"*apprais*")=0,"MISSING","OK"))</f>
        <v/>
      </c>
      <c r="K38" s="31">
        <f>IF($A38="","",IF(Builders!$B35="","MISSING",IF(COUNTIFS('Title Contacts'!$A$2:$A$601,Builders!$B35,'Title Contacts'!$B$2:$B$601,"*agent*",'Title Contacts'!$C$2:$C$601,"&lt;&gt;")&gt;0,"OK","MISSING")))</f>
        <v/>
      </c>
      <c r="L38" s="31">
        <f>IF($A38="","",IF(Builders!$B35="","MISSING",IF(COUNTIFS('Title Contacts'!$A$2:$A$601,Builders!$B35,'Title Contacts'!$B$2:$B$601,"*assistant*",'Title Contacts'!$C$2:$C$601,"&lt;&gt;")&gt;0,"OK","MISSING")))</f>
        <v/>
      </c>
      <c r="M38" s="31">
        <f>IF($A38="","",COUNTIF(B38:L38,"MISSING"))</f>
        <v/>
      </c>
    </row>
    <row r="39">
      <c r="A39" s="18">
        <f>IF(Builders!$A36="","",Builders!$A36)</f>
        <v/>
      </c>
      <c r="B39" s="31">
        <f>IF($A39="","",IF(Builders!$B36="","MISSING","OK"))</f>
        <v/>
      </c>
      <c r="C39" s="31">
        <f>IF($A39="","",IF(Builders!$C36="","MISSING","OK"))</f>
        <v/>
      </c>
      <c r="D39" s="31">
        <f>IF($A39="","",IF(Builders!$D36="","MISSING","OK"))</f>
        <v/>
      </c>
      <c r="E39" s="31">
        <f>IF($A39="","",IF(Builders!$F36="","MISSING","OK"))</f>
        <v/>
      </c>
      <c r="F39" s="31">
        <f>IF($A39="","",IF(COUNTIFS(Contacts!$A$2:$A$501,$A39,Contacts!$B$2:$B$501,"*Owner*")+COUNTIFS(Contacts!$A$2:$A$501,$A39,Contacts!$F$2:$F$501,"*owner*")=0,"MISSING","OK"))</f>
        <v/>
      </c>
      <c r="G39" s="31">
        <f>IF($A39="","",IF(COUNTIFS(Contacts!$A$2:$A$501,$A39,Contacts!$B$2:$B$501,"*Listing*")+COUNTIFS(Contacts!$A$2:$A$501,$A39,Contacts!$F$2:$F$501,"*listing agent*")=0,"MISSING","OK"))</f>
        <v/>
      </c>
      <c r="H39" s="31">
        <f>IF($A39="","",IF(COUNTIFS(Contacts!$A$2:$A$501,$A39,Contacts!$B$2:$B$501,"*Builder Rep*")+COUNTIFS(Contacts!$A$2:$A$501,$A39,Contacts!$B$2:$B$501,"Sales*")=0,"MISSING","OK"))</f>
        <v/>
      </c>
      <c r="I39" s="31">
        <f>IF($A39="","",IF(COUNTIFS(Contacts!$A$2:$A$501,$A39,Contacts!$B$2:$B$501,"*Docs*")+COUNTIFS(Contacts!$A$2:$A$501,$A39,Contacts!$F$2:$F$501,"*builder doc*")=0,"MISSING","OK"))</f>
        <v/>
      </c>
      <c r="J39" s="31">
        <f>IF($A39="","",IF(COUNTIFS(Contacts!$A$2:$A$501,$A39,Contacts!$B$2:$B$501,"*Appraisal*")+COUNTIFS(Contacts!$A$2:$A$501,$A39,Contacts!$F$2:$F$501,"*apprais*")=0,"MISSING","OK"))</f>
        <v/>
      </c>
      <c r="K39" s="31">
        <f>IF($A39="","",IF(Builders!$B36="","MISSING",IF(COUNTIFS('Title Contacts'!$A$2:$A$601,Builders!$B36,'Title Contacts'!$B$2:$B$601,"*agent*",'Title Contacts'!$C$2:$C$601,"&lt;&gt;")&gt;0,"OK","MISSING")))</f>
        <v/>
      </c>
      <c r="L39" s="31">
        <f>IF($A39="","",IF(Builders!$B36="","MISSING",IF(COUNTIFS('Title Contacts'!$A$2:$A$601,Builders!$B36,'Title Contacts'!$B$2:$B$601,"*assistant*",'Title Contacts'!$C$2:$C$601,"&lt;&gt;")&gt;0,"OK","MISSING")))</f>
        <v/>
      </c>
      <c r="M39" s="31">
        <f>IF($A39="","",COUNTIF(B39:L39,"MISSING"))</f>
        <v/>
      </c>
    </row>
    <row r="40">
      <c r="A40" s="18">
        <f>IF(Builders!$A37="","",Builders!$A37)</f>
        <v/>
      </c>
      <c r="B40" s="31">
        <f>IF($A40="","",IF(Builders!$B37="","MISSING","OK"))</f>
        <v/>
      </c>
      <c r="C40" s="31">
        <f>IF($A40="","",IF(Builders!$C37="","MISSING","OK"))</f>
        <v/>
      </c>
      <c r="D40" s="31">
        <f>IF($A40="","",IF(Builders!$D37="","MISSING","OK"))</f>
        <v/>
      </c>
      <c r="E40" s="31">
        <f>IF($A40="","",IF(Builders!$F37="","MISSING","OK"))</f>
        <v/>
      </c>
      <c r="F40" s="31">
        <f>IF($A40="","",IF(COUNTIFS(Contacts!$A$2:$A$501,$A40,Contacts!$B$2:$B$501,"*Owner*")+COUNTIFS(Contacts!$A$2:$A$501,$A40,Contacts!$F$2:$F$501,"*owner*")=0,"MISSING","OK"))</f>
        <v/>
      </c>
      <c r="G40" s="31">
        <f>IF($A40="","",IF(COUNTIFS(Contacts!$A$2:$A$501,$A40,Contacts!$B$2:$B$501,"*Listing*")+COUNTIFS(Contacts!$A$2:$A$501,$A40,Contacts!$F$2:$F$501,"*listing agent*")=0,"MISSING","OK"))</f>
        <v/>
      </c>
      <c r="H40" s="31">
        <f>IF($A40="","",IF(COUNTIFS(Contacts!$A$2:$A$501,$A40,Contacts!$B$2:$B$501,"*Builder Rep*")+COUNTIFS(Contacts!$A$2:$A$501,$A40,Contacts!$B$2:$B$501,"Sales*")=0,"MISSING","OK"))</f>
        <v/>
      </c>
      <c r="I40" s="31">
        <f>IF($A40="","",IF(COUNTIFS(Contacts!$A$2:$A$501,$A40,Contacts!$B$2:$B$501,"*Docs*")+COUNTIFS(Contacts!$A$2:$A$501,$A40,Contacts!$F$2:$F$501,"*builder doc*")=0,"MISSING","OK"))</f>
        <v/>
      </c>
      <c r="J40" s="31">
        <f>IF($A40="","",IF(COUNTIFS(Contacts!$A$2:$A$501,$A40,Contacts!$B$2:$B$501,"*Appraisal*")+COUNTIFS(Contacts!$A$2:$A$501,$A40,Contacts!$F$2:$F$501,"*apprais*")=0,"MISSING","OK"))</f>
        <v/>
      </c>
      <c r="K40" s="31">
        <f>IF($A40="","",IF(Builders!$B37="","MISSING",IF(COUNTIFS('Title Contacts'!$A$2:$A$601,Builders!$B37,'Title Contacts'!$B$2:$B$601,"*agent*",'Title Contacts'!$C$2:$C$601,"&lt;&gt;")&gt;0,"OK","MISSING")))</f>
        <v/>
      </c>
      <c r="L40" s="31">
        <f>IF($A40="","",IF(Builders!$B37="","MISSING",IF(COUNTIFS('Title Contacts'!$A$2:$A$601,Builders!$B37,'Title Contacts'!$B$2:$B$601,"*assistant*",'Title Contacts'!$C$2:$C$601,"&lt;&gt;")&gt;0,"OK","MISSING")))</f>
        <v/>
      </c>
      <c r="M40" s="31">
        <f>IF($A40="","",COUNTIF(B40:L40,"MISSING"))</f>
        <v/>
      </c>
    </row>
    <row r="41">
      <c r="A41" s="18">
        <f>IF(Builders!$A38="","",Builders!$A38)</f>
        <v/>
      </c>
      <c r="B41" s="31">
        <f>IF($A41="","",IF(Builders!$B38="","MISSING","OK"))</f>
        <v/>
      </c>
      <c r="C41" s="31">
        <f>IF($A41="","",IF(Builders!$C38="","MISSING","OK"))</f>
        <v/>
      </c>
      <c r="D41" s="31">
        <f>IF($A41="","",IF(Builders!$D38="","MISSING","OK"))</f>
        <v/>
      </c>
      <c r="E41" s="31">
        <f>IF($A41="","",IF(Builders!$F38="","MISSING","OK"))</f>
        <v/>
      </c>
      <c r="F41" s="31">
        <f>IF($A41="","",IF(COUNTIFS(Contacts!$A$2:$A$501,$A41,Contacts!$B$2:$B$501,"*Owner*")+COUNTIFS(Contacts!$A$2:$A$501,$A41,Contacts!$F$2:$F$501,"*owner*")=0,"MISSING","OK"))</f>
        <v/>
      </c>
      <c r="G41" s="31">
        <f>IF($A41="","",IF(COUNTIFS(Contacts!$A$2:$A$501,$A41,Contacts!$B$2:$B$501,"*Listing*")+COUNTIFS(Contacts!$A$2:$A$501,$A41,Contacts!$F$2:$F$501,"*listing agent*")=0,"MISSING","OK"))</f>
        <v/>
      </c>
      <c r="H41" s="31">
        <f>IF($A41="","",IF(COUNTIFS(Contacts!$A$2:$A$501,$A41,Contacts!$B$2:$B$501,"*Builder Rep*")+COUNTIFS(Contacts!$A$2:$A$501,$A41,Contacts!$B$2:$B$501,"Sales*")=0,"MISSING","OK"))</f>
        <v/>
      </c>
      <c r="I41" s="31">
        <f>IF($A41="","",IF(COUNTIFS(Contacts!$A$2:$A$501,$A41,Contacts!$B$2:$B$501,"*Docs*")+COUNTIFS(Contacts!$A$2:$A$501,$A41,Contacts!$F$2:$F$501,"*builder doc*")=0,"MISSING","OK"))</f>
        <v/>
      </c>
      <c r="J41" s="31">
        <f>IF($A41="","",IF(COUNTIFS(Contacts!$A$2:$A$501,$A41,Contacts!$B$2:$B$501,"*Appraisal*")+COUNTIFS(Contacts!$A$2:$A$501,$A41,Contacts!$F$2:$F$501,"*apprais*")=0,"MISSING","OK"))</f>
        <v/>
      </c>
      <c r="K41" s="31">
        <f>IF($A41="","",IF(Builders!$B38="","MISSING",IF(COUNTIFS('Title Contacts'!$A$2:$A$601,Builders!$B38,'Title Contacts'!$B$2:$B$601,"*agent*",'Title Contacts'!$C$2:$C$601,"&lt;&gt;")&gt;0,"OK","MISSING")))</f>
        <v/>
      </c>
      <c r="L41" s="31">
        <f>IF($A41="","",IF(Builders!$B38="","MISSING",IF(COUNTIFS('Title Contacts'!$A$2:$A$601,Builders!$B38,'Title Contacts'!$B$2:$B$601,"*assistant*",'Title Contacts'!$C$2:$C$601,"&lt;&gt;")&gt;0,"OK","MISSING")))</f>
        <v/>
      </c>
      <c r="M41" s="31">
        <f>IF($A41="","",COUNTIF(B41:L41,"MISSING"))</f>
        <v/>
      </c>
    </row>
    <row r="42">
      <c r="A42" s="18">
        <f>IF(Builders!$A39="","",Builders!$A39)</f>
        <v/>
      </c>
      <c r="B42" s="31">
        <f>IF($A42="","",IF(Builders!$B39="","MISSING","OK"))</f>
        <v/>
      </c>
      <c r="C42" s="31">
        <f>IF($A42="","",IF(Builders!$C39="","MISSING","OK"))</f>
        <v/>
      </c>
      <c r="D42" s="31">
        <f>IF($A42="","",IF(Builders!$D39="","MISSING","OK"))</f>
        <v/>
      </c>
      <c r="E42" s="31">
        <f>IF($A42="","",IF(Builders!$F39="","MISSING","OK"))</f>
        <v/>
      </c>
      <c r="F42" s="31">
        <f>IF($A42="","",IF(COUNTIFS(Contacts!$A$2:$A$501,$A42,Contacts!$B$2:$B$501,"*Owner*")+COUNTIFS(Contacts!$A$2:$A$501,$A42,Contacts!$F$2:$F$501,"*owner*")=0,"MISSING","OK"))</f>
        <v/>
      </c>
      <c r="G42" s="31">
        <f>IF($A42="","",IF(COUNTIFS(Contacts!$A$2:$A$501,$A42,Contacts!$B$2:$B$501,"*Listing*")+COUNTIFS(Contacts!$A$2:$A$501,$A42,Contacts!$F$2:$F$501,"*listing agent*")=0,"MISSING","OK"))</f>
        <v/>
      </c>
      <c r="H42" s="31">
        <f>IF($A42="","",IF(COUNTIFS(Contacts!$A$2:$A$501,$A42,Contacts!$B$2:$B$501,"*Builder Rep*")+COUNTIFS(Contacts!$A$2:$A$501,$A42,Contacts!$B$2:$B$501,"Sales*")=0,"MISSING","OK"))</f>
        <v/>
      </c>
      <c r="I42" s="31">
        <f>IF($A42="","",IF(COUNTIFS(Contacts!$A$2:$A$501,$A42,Contacts!$B$2:$B$501,"*Docs*")+COUNTIFS(Contacts!$A$2:$A$501,$A42,Contacts!$F$2:$F$501,"*builder doc*")=0,"MISSING","OK"))</f>
        <v/>
      </c>
      <c r="J42" s="31">
        <f>IF($A42="","",IF(COUNTIFS(Contacts!$A$2:$A$501,$A42,Contacts!$B$2:$B$501,"*Appraisal*")+COUNTIFS(Contacts!$A$2:$A$501,$A42,Contacts!$F$2:$F$501,"*apprais*")=0,"MISSING","OK"))</f>
        <v/>
      </c>
      <c r="K42" s="31">
        <f>IF($A42="","",IF(Builders!$B39="","MISSING",IF(COUNTIFS('Title Contacts'!$A$2:$A$601,Builders!$B39,'Title Contacts'!$B$2:$B$601,"*agent*",'Title Contacts'!$C$2:$C$601,"&lt;&gt;")&gt;0,"OK","MISSING")))</f>
        <v/>
      </c>
      <c r="L42" s="31">
        <f>IF($A42="","",IF(Builders!$B39="","MISSING",IF(COUNTIFS('Title Contacts'!$A$2:$A$601,Builders!$B39,'Title Contacts'!$B$2:$B$601,"*assistant*",'Title Contacts'!$C$2:$C$601,"&lt;&gt;")&gt;0,"OK","MISSING")))</f>
        <v/>
      </c>
      <c r="M42" s="31">
        <f>IF($A42="","",COUNTIF(B42:L42,"MISSING"))</f>
        <v/>
      </c>
    </row>
    <row r="43">
      <c r="A43" s="18">
        <f>IF(Builders!$A40="","",Builders!$A40)</f>
        <v/>
      </c>
      <c r="B43" s="31">
        <f>IF($A43="","",IF(Builders!$B40="","MISSING","OK"))</f>
        <v/>
      </c>
      <c r="C43" s="31">
        <f>IF($A43="","",IF(Builders!$C40="","MISSING","OK"))</f>
        <v/>
      </c>
      <c r="D43" s="31">
        <f>IF($A43="","",IF(Builders!$D40="","MISSING","OK"))</f>
        <v/>
      </c>
      <c r="E43" s="31">
        <f>IF($A43="","",IF(Builders!$F40="","MISSING","OK"))</f>
        <v/>
      </c>
      <c r="F43" s="31">
        <f>IF($A43="","",IF(COUNTIFS(Contacts!$A$2:$A$501,$A43,Contacts!$B$2:$B$501,"*Owner*")+COUNTIFS(Contacts!$A$2:$A$501,$A43,Contacts!$F$2:$F$501,"*owner*")=0,"MISSING","OK"))</f>
        <v/>
      </c>
      <c r="G43" s="31">
        <f>IF($A43="","",IF(COUNTIFS(Contacts!$A$2:$A$501,$A43,Contacts!$B$2:$B$501,"*Listing*")+COUNTIFS(Contacts!$A$2:$A$501,$A43,Contacts!$F$2:$F$501,"*listing agent*")=0,"MISSING","OK"))</f>
        <v/>
      </c>
      <c r="H43" s="31">
        <f>IF($A43="","",IF(COUNTIFS(Contacts!$A$2:$A$501,$A43,Contacts!$B$2:$B$501,"*Builder Rep*")+COUNTIFS(Contacts!$A$2:$A$501,$A43,Contacts!$B$2:$B$501,"Sales*")=0,"MISSING","OK"))</f>
        <v/>
      </c>
      <c r="I43" s="31">
        <f>IF($A43="","",IF(COUNTIFS(Contacts!$A$2:$A$501,$A43,Contacts!$B$2:$B$501,"*Docs*")+COUNTIFS(Contacts!$A$2:$A$501,$A43,Contacts!$F$2:$F$501,"*builder doc*")=0,"MISSING","OK"))</f>
        <v/>
      </c>
      <c r="J43" s="31">
        <f>IF($A43="","",IF(COUNTIFS(Contacts!$A$2:$A$501,$A43,Contacts!$B$2:$B$501,"*Appraisal*")+COUNTIFS(Contacts!$A$2:$A$501,$A43,Contacts!$F$2:$F$501,"*apprais*")=0,"MISSING","OK"))</f>
        <v/>
      </c>
      <c r="K43" s="31">
        <f>IF($A43="","",IF(Builders!$B40="","MISSING",IF(COUNTIFS('Title Contacts'!$A$2:$A$601,Builders!$B40,'Title Contacts'!$B$2:$B$601,"*agent*",'Title Contacts'!$C$2:$C$601,"&lt;&gt;")&gt;0,"OK","MISSING")))</f>
        <v/>
      </c>
      <c r="L43" s="31">
        <f>IF($A43="","",IF(Builders!$B40="","MISSING",IF(COUNTIFS('Title Contacts'!$A$2:$A$601,Builders!$B40,'Title Contacts'!$B$2:$B$601,"*assistant*",'Title Contacts'!$C$2:$C$601,"&lt;&gt;")&gt;0,"OK","MISSING")))</f>
        <v/>
      </c>
      <c r="M43" s="31">
        <f>IF($A43="","",COUNTIF(B43:L43,"MISSING"))</f>
        <v/>
      </c>
    </row>
    <row r="44">
      <c r="A44" s="18">
        <f>IF(Builders!$A41="","",Builders!$A41)</f>
        <v/>
      </c>
      <c r="B44" s="31">
        <f>IF($A44="","",IF(Builders!$B41="","MISSING","OK"))</f>
        <v/>
      </c>
      <c r="C44" s="31">
        <f>IF($A44="","",IF(Builders!$C41="","MISSING","OK"))</f>
        <v/>
      </c>
      <c r="D44" s="31">
        <f>IF($A44="","",IF(Builders!$D41="","MISSING","OK"))</f>
        <v/>
      </c>
      <c r="E44" s="31">
        <f>IF($A44="","",IF(Builders!$F41="","MISSING","OK"))</f>
        <v/>
      </c>
      <c r="F44" s="31">
        <f>IF($A44="","",IF(COUNTIFS(Contacts!$A$2:$A$501,$A44,Contacts!$B$2:$B$501,"*Owner*")+COUNTIFS(Contacts!$A$2:$A$501,$A44,Contacts!$F$2:$F$501,"*owner*")=0,"MISSING","OK"))</f>
        <v/>
      </c>
      <c r="G44" s="31">
        <f>IF($A44="","",IF(COUNTIFS(Contacts!$A$2:$A$501,$A44,Contacts!$B$2:$B$501,"*Listing*")+COUNTIFS(Contacts!$A$2:$A$501,$A44,Contacts!$F$2:$F$501,"*listing agent*")=0,"MISSING","OK"))</f>
        <v/>
      </c>
      <c r="H44" s="31">
        <f>IF($A44="","",IF(COUNTIFS(Contacts!$A$2:$A$501,$A44,Contacts!$B$2:$B$501,"*Builder Rep*")+COUNTIFS(Contacts!$A$2:$A$501,$A44,Contacts!$B$2:$B$501,"Sales*")=0,"MISSING","OK"))</f>
        <v/>
      </c>
      <c r="I44" s="31">
        <f>IF($A44="","",IF(COUNTIFS(Contacts!$A$2:$A$501,$A44,Contacts!$B$2:$B$501,"*Docs*")+COUNTIFS(Contacts!$A$2:$A$501,$A44,Contacts!$F$2:$F$501,"*builder doc*")=0,"MISSING","OK"))</f>
        <v/>
      </c>
      <c r="J44" s="31">
        <f>IF($A44="","",IF(COUNTIFS(Contacts!$A$2:$A$501,$A44,Contacts!$B$2:$B$501,"*Appraisal*")+COUNTIFS(Contacts!$A$2:$A$501,$A44,Contacts!$F$2:$F$501,"*apprais*")=0,"MISSING","OK"))</f>
        <v/>
      </c>
      <c r="K44" s="31">
        <f>IF($A44="","",IF(Builders!$B41="","MISSING",IF(COUNTIFS('Title Contacts'!$A$2:$A$601,Builders!$B41,'Title Contacts'!$B$2:$B$601,"*agent*",'Title Contacts'!$C$2:$C$601,"&lt;&gt;")&gt;0,"OK","MISSING")))</f>
        <v/>
      </c>
      <c r="L44" s="31">
        <f>IF($A44="","",IF(Builders!$B41="","MISSING",IF(COUNTIFS('Title Contacts'!$A$2:$A$601,Builders!$B41,'Title Contacts'!$B$2:$B$601,"*assistant*",'Title Contacts'!$C$2:$C$601,"&lt;&gt;")&gt;0,"OK","MISSING")))</f>
        <v/>
      </c>
      <c r="M44" s="31">
        <f>IF($A44="","",COUNTIF(B44:L44,"MISSING"))</f>
        <v/>
      </c>
    </row>
    <row r="45">
      <c r="A45" s="18">
        <f>IF(Builders!$A42="","",Builders!$A42)</f>
        <v/>
      </c>
      <c r="B45" s="31">
        <f>IF($A45="","",IF(Builders!$B42="","MISSING","OK"))</f>
        <v/>
      </c>
      <c r="C45" s="31">
        <f>IF($A45="","",IF(Builders!$C42="","MISSING","OK"))</f>
        <v/>
      </c>
      <c r="D45" s="31">
        <f>IF($A45="","",IF(Builders!$D42="","MISSING","OK"))</f>
        <v/>
      </c>
      <c r="E45" s="31">
        <f>IF($A45="","",IF(Builders!$F42="","MISSING","OK"))</f>
        <v/>
      </c>
      <c r="F45" s="31">
        <f>IF($A45="","",IF(COUNTIFS(Contacts!$A$2:$A$501,$A45,Contacts!$B$2:$B$501,"*Owner*")+COUNTIFS(Contacts!$A$2:$A$501,$A45,Contacts!$F$2:$F$501,"*owner*")=0,"MISSING","OK"))</f>
        <v/>
      </c>
      <c r="G45" s="31">
        <f>IF($A45="","",IF(COUNTIFS(Contacts!$A$2:$A$501,$A45,Contacts!$B$2:$B$501,"*Listing*")+COUNTIFS(Contacts!$A$2:$A$501,$A45,Contacts!$F$2:$F$501,"*listing agent*")=0,"MISSING","OK"))</f>
        <v/>
      </c>
      <c r="H45" s="31">
        <f>IF($A45="","",IF(COUNTIFS(Contacts!$A$2:$A$501,$A45,Contacts!$B$2:$B$501,"*Builder Rep*")+COUNTIFS(Contacts!$A$2:$A$501,$A45,Contacts!$B$2:$B$501,"Sales*")=0,"MISSING","OK"))</f>
        <v/>
      </c>
      <c r="I45" s="31">
        <f>IF($A45="","",IF(COUNTIFS(Contacts!$A$2:$A$501,$A45,Contacts!$B$2:$B$501,"*Docs*")+COUNTIFS(Contacts!$A$2:$A$501,$A45,Contacts!$F$2:$F$501,"*builder doc*")=0,"MISSING","OK"))</f>
        <v/>
      </c>
      <c r="J45" s="31">
        <f>IF($A45="","",IF(COUNTIFS(Contacts!$A$2:$A$501,$A45,Contacts!$B$2:$B$501,"*Appraisal*")+COUNTIFS(Contacts!$A$2:$A$501,$A45,Contacts!$F$2:$F$501,"*apprais*")=0,"MISSING","OK"))</f>
        <v/>
      </c>
      <c r="K45" s="31">
        <f>IF($A45="","",IF(Builders!$B42="","MISSING",IF(COUNTIFS('Title Contacts'!$A$2:$A$601,Builders!$B42,'Title Contacts'!$B$2:$B$601,"*agent*",'Title Contacts'!$C$2:$C$601,"&lt;&gt;")&gt;0,"OK","MISSING")))</f>
        <v/>
      </c>
      <c r="L45" s="31">
        <f>IF($A45="","",IF(Builders!$B42="","MISSING",IF(COUNTIFS('Title Contacts'!$A$2:$A$601,Builders!$B42,'Title Contacts'!$B$2:$B$601,"*assistant*",'Title Contacts'!$C$2:$C$601,"&lt;&gt;")&gt;0,"OK","MISSING")))</f>
        <v/>
      </c>
      <c r="M45" s="31">
        <f>IF($A45="","",COUNTIF(B45:L45,"MISSING"))</f>
        <v/>
      </c>
    </row>
    <row r="46">
      <c r="A46" s="18">
        <f>IF(Builders!$A43="","",Builders!$A43)</f>
        <v/>
      </c>
      <c r="B46" s="31">
        <f>IF($A46="","",IF(Builders!$B43="","MISSING","OK"))</f>
        <v/>
      </c>
      <c r="C46" s="31">
        <f>IF($A46="","",IF(Builders!$C43="","MISSING","OK"))</f>
        <v/>
      </c>
      <c r="D46" s="31">
        <f>IF($A46="","",IF(Builders!$D43="","MISSING","OK"))</f>
        <v/>
      </c>
      <c r="E46" s="31">
        <f>IF($A46="","",IF(Builders!$F43="","MISSING","OK"))</f>
        <v/>
      </c>
      <c r="F46" s="31">
        <f>IF($A46="","",IF(COUNTIFS(Contacts!$A$2:$A$501,$A46,Contacts!$B$2:$B$501,"*Owner*")+COUNTIFS(Contacts!$A$2:$A$501,$A46,Contacts!$F$2:$F$501,"*owner*")=0,"MISSING","OK"))</f>
        <v/>
      </c>
      <c r="G46" s="31">
        <f>IF($A46="","",IF(COUNTIFS(Contacts!$A$2:$A$501,$A46,Contacts!$B$2:$B$501,"*Listing*")+COUNTIFS(Contacts!$A$2:$A$501,$A46,Contacts!$F$2:$F$501,"*listing agent*")=0,"MISSING","OK"))</f>
        <v/>
      </c>
      <c r="H46" s="31">
        <f>IF($A46="","",IF(COUNTIFS(Contacts!$A$2:$A$501,$A46,Contacts!$B$2:$B$501,"*Builder Rep*")+COUNTIFS(Contacts!$A$2:$A$501,$A46,Contacts!$B$2:$B$501,"Sales*")=0,"MISSING","OK"))</f>
        <v/>
      </c>
      <c r="I46" s="31">
        <f>IF($A46="","",IF(COUNTIFS(Contacts!$A$2:$A$501,$A46,Contacts!$B$2:$B$501,"*Docs*")+COUNTIFS(Contacts!$A$2:$A$501,$A46,Contacts!$F$2:$F$501,"*builder doc*")=0,"MISSING","OK"))</f>
        <v/>
      </c>
      <c r="J46" s="31">
        <f>IF($A46="","",IF(COUNTIFS(Contacts!$A$2:$A$501,$A46,Contacts!$B$2:$B$501,"*Appraisal*")+COUNTIFS(Contacts!$A$2:$A$501,$A46,Contacts!$F$2:$F$501,"*apprais*")=0,"MISSING","OK"))</f>
        <v/>
      </c>
      <c r="K46" s="31">
        <f>IF($A46="","",IF(Builders!$B43="","MISSING",IF(COUNTIFS('Title Contacts'!$A$2:$A$601,Builders!$B43,'Title Contacts'!$B$2:$B$601,"*agent*",'Title Contacts'!$C$2:$C$601,"&lt;&gt;")&gt;0,"OK","MISSING")))</f>
        <v/>
      </c>
      <c r="L46" s="31">
        <f>IF($A46="","",IF(Builders!$B43="","MISSING",IF(COUNTIFS('Title Contacts'!$A$2:$A$601,Builders!$B43,'Title Contacts'!$B$2:$B$601,"*assistant*",'Title Contacts'!$C$2:$C$601,"&lt;&gt;")&gt;0,"OK","MISSING")))</f>
        <v/>
      </c>
      <c r="M46" s="31">
        <f>IF($A46="","",COUNTIF(B46:L46,"MISSING"))</f>
        <v/>
      </c>
    </row>
    <row r="47">
      <c r="A47" s="18">
        <f>IF(Builders!$A44="","",Builders!$A44)</f>
        <v/>
      </c>
      <c r="B47" s="31">
        <f>IF($A47="","",IF(Builders!$B44="","MISSING","OK"))</f>
        <v/>
      </c>
      <c r="C47" s="31">
        <f>IF($A47="","",IF(Builders!$C44="","MISSING","OK"))</f>
        <v/>
      </c>
      <c r="D47" s="31">
        <f>IF($A47="","",IF(Builders!$D44="","MISSING","OK"))</f>
        <v/>
      </c>
      <c r="E47" s="31">
        <f>IF($A47="","",IF(Builders!$F44="","MISSING","OK"))</f>
        <v/>
      </c>
      <c r="F47" s="31">
        <f>IF($A47="","",IF(COUNTIFS(Contacts!$A$2:$A$501,$A47,Contacts!$B$2:$B$501,"*Owner*")+COUNTIFS(Contacts!$A$2:$A$501,$A47,Contacts!$F$2:$F$501,"*owner*")=0,"MISSING","OK"))</f>
        <v/>
      </c>
      <c r="G47" s="31">
        <f>IF($A47="","",IF(COUNTIFS(Contacts!$A$2:$A$501,$A47,Contacts!$B$2:$B$501,"*Listing*")+COUNTIFS(Contacts!$A$2:$A$501,$A47,Contacts!$F$2:$F$501,"*listing agent*")=0,"MISSING","OK"))</f>
        <v/>
      </c>
      <c r="H47" s="31">
        <f>IF($A47="","",IF(COUNTIFS(Contacts!$A$2:$A$501,$A47,Contacts!$B$2:$B$501,"*Builder Rep*")+COUNTIFS(Contacts!$A$2:$A$501,$A47,Contacts!$B$2:$B$501,"Sales*")=0,"MISSING","OK"))</f>
        <v/>
      </c>
      <c r="I47" s="31">
        <f>IF($A47="","",IF(COUNTIFS(Contacts!$A$2:$A$501,$A47,Contacts!$B$2:$B$501,"*Docs*")+COUNTIFS(Contacts!$A$2:$A$501,$A47,Contacts!$F$2:$F$501,"*builder doc*")=0,"MISSING","OK"))</f>
        <v/>
      </c>
      <c r="J47" s="31">
        <f>IF($A47="","",IF(COUNTIFS(Contacts!$A$2:$A$501,$A47,Contacts!$B$2:$B$501,"*Appraisal*")+COUNTIFS(Contacts!$A$2:$A$501,$A47,Contacts!$F$2:$F$501,"*apprais*")=0,"MISSING","OK"))</f>
        <v/>
      </c>
      <c r="K47" s="31">
        <f>IF($A47="","",IF(Builders!$B44="","MISSING",IF(COUNTIFS('Title Contacts'!$A$2:$A$601,Builders!$B44,'Title Contacts'!$B$2:$B$601,"*agent*",'Title Contacts'!$C$2:$C$601,"&lt;&gt;")&gt;0,"OK","MISSING")))</f>
        <v/>
      </c>
      <c r="L47" s="31">
        <f>IF($A47="","",IF(Builders!$B44="","MISSING",IF(COUNTIFS('Title Contacts'!$A$2:$A$601,Builders!$B44,'Title Contacts'!$B$2:$B$601,"*assistant*",'Title Contacts'!$C$2:$C$601,"&lt;&gt;")&gt;0,"OK","MISSING")))</f>
        <v/>
      </c>
      <c r="M47" s="31">
        <f>IF($A47="","",COUNTIF(B47:L47,"MISSING"))</f>
        <v/>
      </c>
    </row>
    <row r="48">
      <c r="A48" s="18">
        <f>IF(Builders!$A45="","",Builders!$A45)</f>
        <v/>
      </c>
      <c r="B48" s="31">
        <f>IF($A48="","",IF(Builders!$B45="","MISSING","OK"))</f>
        <v/>
      </c>
      <c r="C48" s="31">
        <f>IF($A48="","",IF(Builders!$C45="","MISSING","OK"))</f>
        <v/>
      </c>
      <c r="D48" s="31">
        <f>IF($A48="","",IF(Builders!$D45="","MISSING","OK"))</f>
        <v/>
      </c>
      <c r="E48" s="31">
        <f>IF($A48="","",IF(Builders!$F45="","MISSING","OK"))</f>
        <v/>
      </c>
      <c r="F48" s="31">
        <f>IF($A48="","",IF(COUNTIFS(Contacts!$A$2:$A$501,$A48,Contacts!$B$2:$B$501,"*Owner*")+COUNTIFS(Contacts!$A$2:$A$501,$A48,Contacts!$F$2:$F$501,"*owner*")=0,"MISSING","OK"))</f>
        <v/>
      </c>
      <c r="G48" s="31">
        <f>IF($A48="","",IF(COUNTIFS(Contacts!$A$2:$A$501,$A48,Contacts!$B$2:$B$501,"*Listing*")+COUNTIFS(Contacts!$A$2:$A$501,$A48,Contacts!$F$2:$F$501,"*listing agent*")=0,"MISSING","OK"))</f>
        <v/>
      </c>
      <c r="H48" s="31">
        <f>IF($A48="","",IF(COUNTIFS(Contacts!$A$2:$A$501,$A48,Contacts!$B$2:$B$501,"*Builder Rep*")+COUNTIFS(Contacts!$A$2:$A$501,$A48,Contacts!$B$2:$B$501,"Sales*")=0,"MISSING","OK"))</f>
        <v/>
      </c>
      <c r="I48" s="31">
        <f>IF($A48="","",IF(COUNTIFS(Contacts!$A$2:$A$501,$A48,Contacts!$B$2:$B$501,"*Docs*")+COUNTIFS(Contacts!$A$2:$A$501,$A48,Contacts!$F$2:$F$501,"*builder doc*")=0,"MISSING","OK"))</f>
        <v/>
      </c>
      <c r="J48" s="31">
        <f>IF($A48="","",IF(COUNTIFS(Contacts!$A$2:$A$501,$A48,Contacts!$B$2:$B$501,"*Appraisal*")+COUNTIFS(Contacts!$A$2:$A$501,$A48,Contacts!$F$2:$F$501,"*apprais*")=0,"MISSING","OK"))</f>
        <v/>
      </c>
      <c r="K48" s="31">
        <f>IF($A48="","",IF(Builders!$B45="","MISSING",IF(COUNTIFS('Title Contacts'!$A$2:$A$601,Builders!$B45,'Title Contacts'!$B$2:$B$601,"*agent*",'Title Contacts'!$C$2:$C$601,"&lt;&gt;")&gt;0,"OK","MISSING")))</f>
        <v/>
      </c>
      <c r="L48" s="31">
        <f>IF($A48="","",IF(Builders!$B45="","MISSING",IF(COUNTIFS('Title Contacts'!$A$2:$A$601,Builders!$B45,'Title Contacts'!$B$2:$B$601,"*assistant*",'Title Contacts'!$C$2:$C$601,"&lt;&gt;")&gt;0,"OK","MISSING")))</f>
        <v/>
      </c>
      <c r="M48" s="31">
        <f>IF($A48="","",COUNTIF(B48:L48,"MISSING"))</f>
        <v/>
      </c>
    </row>
    <row r="49">
      <c r="A49" s="18">
        <f>IF(Builders!$A46="","",Builders!$A46)</f>
        <v/>
      </c>
      <c r="B49" s="31">
        <f>IF($A49="","",IF(Builders!$B46="","MISSING","OK"))</f>
        <v/>
      </c>
      <c r="C49" s="31">
        <f>IF($A49="","",IF(Builders!$C46="","MISSING","OK"))</f>
        <v/>
      </c>
      <c r="D49" s="31">
        <f>IF($A49="","",IF(Builders!$D46="","MISSING","OK"))</f>
        <v/>
      </c>
      <c r="E49" s="31">
        <f>IF($A49="","",IF(Builders!$F46="","MISSING","OK"))</f>
        <v/>
      </c>
      <c r="F49" s="31">
        <f>IF($A49="","",IF(COUNTIFS(Contacts!$A$2:$A$501,$A49,Contacts!$B$2:$B$501,"*Owner*")+COUNTIFS(Contacts!$A$2:$A$501,$A49,Contacts!$F$2:$F$501,"*owner*")=0,"MISSING","OK"))</f>
        <v/>
      </c>
      <c r="G49" s="31">
        <f>IF($A49="","",IF(COUNTIFS(Contacts!$A$2:$A$501,$A49,Contacts!$B$2:$B$501,"*Listing*")+COUNTIFS(Contacts!$A$2:$A$501,$A49,Contacts!$F$2:$F$501,"*listing agent*")=0,"MISSING","OK"))</f>
        <v/>
      </c>
      <c r="H49" s="31">
        <f>IF($A49="","",IF(COUNTIFS(Contacts!$A$2:$A$501,$A49,Contacts!$B$2:$B$501,"*Builder Rep*")+COUNTIFS(Contacts!$A$2:$A$501,$A49,Contacts!$B$2:$B$501,"Sales*")=0,"MISSING","OK"))</f>
        <v/>
      </c>
      <c r="I49" s="31">
        <f>IF($A49="","",IF(COUNTIFS(Contacts!$A$2:$A$501,$A49,Contacts!$B$2:$B$501,"*Docs*")+COUNTIFS(Contacts!$A$2:$A$501,$A49,Contacts!$F$2:$F$501,"*builder doc*")=0,"MISSING","OK"))</f>
        <v/>
      </c>
      <c r="J49" s="31">
        <f>IF($A49="","",IF(COUNTIFS(Contacts!$A$2:$A$501,$A49,Contacts!$B$2:$B$501,"*Appraisal*")+COUNTIFS(Contacts!$A$2:$A$501,$A49,Contacts!$F$2:$F$501,"*apprais*")=0,"MISSING","OK"))</f>
        <v/>
      </c>
      <c r="K49" s="31">
        <f>IF($A49="","",IF(Builders!$B46="","MISSING",IF(COUNTIFS('Title Contacts'!$A$2:$A$601,Builders!$B46,'Title Contacts'!$B$2:$B$601,"*agent*",'Title Contacts'!$C$2:$C$601,"&lt;&gt;")&gt;0,"OK","MISSING")))</f>
        <v/>
      </c>
      <c r="L49" s="31">
        <f>IF($A49="","",IF(Builders!$B46="","MISSING",IF(COUNTIFS('Title Contacts'!$A$2:$A$601,Builders!$B46,'Title Contacts'!$B$2:$B$601,"*assistant*",'Title Contacts'!$C$2:$C$601,"&lt;&gt;")&gt;0,"OK","MISSING")))</f>
        <v/>
      </c>
      <c r="M49" s="31">
        <f>IF($A49="","",COUNTIF(B49:L49,"MISSING"))</f>
        <v/>
      </c>
    </row>
    <row r="50">
      <c r="A50" s="18">
        <f>IF(Builders!$A47="","",Builders!$A47)</f>
        <v/>
      </c>
      <c r="B50" s="31">
        <f>IF($A50="","",IF(Builders!$B47="","MISSING","OK"))</f>
        <v/>
      </c>
      <c r="C50" s="31">
        <f>IF($A50="","",IF(Builders!$C47="","MISSING","OK"))</f>
        <v/>
      </c>
      <c r="D50" s="31">
        <f>IF($A50="","",IF(Builders!$D47="","MISSING","OK"))</f>
        <v/>
      </c>
      <c r="E50" s="31">
        <f>IF($A50="","",IF(Builders!$F47="","MISSING","OK"))</f>
        <v/>
      </c>
      <c r="F50" s="31">
        <f>IF($A50="","",IF(COUNTIFS(Contacts!$A$2:$A$501,$A50,Contacts!$B$2:$B$501,"*Owner*")+COUNTIFS(Contacts!$A$2:$A$501,$A50,Contacts!$F$2:$F$501,"*owner*")=0,"MISSING","OK"))</f>
        <v/>
      </c>
      <c r="G50" s="31">
        <f>IF($A50="","",IF(COUNTIFS(Contacts!$A$2:$A$501,$A50,Contacts!$B$2:$B$501,"*Listing*")+COUNTIFS(Contacts!$A$2:$A$501,$A50,Contacts!$F$2:$F$501,"*listing agent*")=0,"MISSING","OK"))</f>
        <v/>
      </c>
      <c r="H50" s="31">
        <f>IF($A50="","",IF(COUNTIFS(Contacts!$A$2:$A$501,$A50,Contacts!$B$2:$B$501,"*Builder Rep*")+COUNTIFS(Contacts!$A$2:$A$501,$A50,Contacts!$B$2:$B$501,"Sales*")=0,"MISSING","OK"))</f>
        <v/>
      </c>
      <c r="I50" s="31">
        <f>IF($A50="","",IF(COUNTIFS(Contacts!$A$2:$A$501,$A50,Contacts!$B$2:$B$501,"*Docs*")+COUNTIFS(Contacts!$A$2:$A$501,$A50,Contacts!$F$2:$F$501,"*builder doc*")=0,"MISSING","OK"))</f>
        <v/>
      </c>
      <c r="J50" s="31">
        <f>IF($A50="","",IF(COUNTIFS(Contacts!$A$2:$A$501,$A50,Contacts!$B$2:$B$501,"*Appraisal*")+COUNTIFS(Contacts!$A$2:$A$501,$A50,Contacts!$F$2:$F$501,"*apprais*")=0,"MISSING","OK"))</f>
        <v/>
      </c>
      <c r="K50" s="31">
        <f>IF($A50="","",IF(Builders!$B47="","MISSING",IF(COUNTIFS('Title Contacts'!$A$2:$A$601,Builders!$B47,'Title Contacts'!$B$2:$B$601,"*agent*",'Title Contacts'!$C$2:$C$601,"&lt;&gt;")&gt;0,"OK","MISSING")))</f>
        <v/>
      </c>
      <c r="L50" s="31">
        <f>IF($A50="","",IF(Builders!$B47="","MISSING",IF(COUNTIFS('Title Contacts'!$A$2:$A$601,Builders!$B47,'Title Contacts'!$B$2:$B$601,"*assistant*",'Title Contacts'!$C$2:$C$601,"&lt;&gt;")&gt;0,"OK","MISSING")))</f>
        <v/>
      </c>
      <c r="M50" s="31">
        <f>IF($A50="","",COUNTIF(B50:L50,"MISSING"))</f>
        <v/>
      </c>
    </row>
    <row r="51">
      <c r="A51" s="18">
        <f>IF(Builders!$A48="","",Builders!$A48)</f>
        <v/>
      </c>
      <c r="B51" s="31">
        <f>IF($A51="","",IF(Builders!$B48="","MISSING","OK"))</f>
        <v/>
      </c>
      <c r="C51" s="31">
        <f>IF($A51="","",IF(Builders!$C48="","MISSING","OK"))</f>
        <v/>
      </c>
      <c r="D51" s="31">
        <f>IF($A51="","",IF(Builders!$D48="","MISSING","OK"))</f>
        <v/>
      </c>
      <c r="E51" s="31">
        <f>IF($A51="","",IF(Builders!$F48="","MISSING","OK"))</f>
        <v/>
      </c>
      <c r="F51" s="31">
        <f>IF($A51="","",IF(COUNTIFS(Contacts!$A$2:$A$501,$A51,Contacts!$B$2:$B$501,"*Owner*")+COUNTIFS(Contacts!$A$2:$A$501,$A51,Contacts!$F$2:$F$501,"*owner*")=0,"MISSING","OK"))</f>
        <v/>
      </c>
      <c r="G51" s="31">
        <f>IF($A51="","",IF(COUNTIFS(Contacts!$A$2:$A$501,$A51,Contacts!$B$2:$B$501,"*Listing*")+COUNTIFS(Contacts!$A$2:$A$501,$A51,Contacts!$F$2:$F$501,"*listing agent*")=0,"MISSING","OK"))</f>
        <v/>
      </c>
      <c r="H51" s="31">
        <f>IF($A51="","",IF(COUNTIFS(Contacts!$A$2:$A$501,$A51,Contacts!$B$2:$B$501,"*Builder Rep*")+COUNTIFS(Contacts!$A$2:$A$501,$A51,Contacts!$B$2:$B$501,"Sales*")=0,"MISSING","OK"))</f>
        <v/>
      </c>
      <c r="I51" s="31">
        <f>IF($A51="","",IF(COUNTIFS(Contacts!$A$2:$A$501,$A51,Contacts!$B$2:$B$501,"*Docs*")+COUNTIFS(Contacts!$A$2:$A$501,$A51,Contacts!$F$2:$F$501,"*builder doc*")=0,"MISSING","OK"))</f>
        <v/>
      </c>
      <c r="J51" s="31">
        <f>IF($A51="","",IF(COUNTIFS(Contacts!$A$2:$A$501,$A51,Contacts!$B$2:$B$501,"*Appraisal*")+COUNTIFS(Contacts!$A$2:$A$501,$A51,Contacts!$F$2:$F$501,"*apprais*")=0,"MISSING","OK"))</f>
        <v/>
      </c>
      <c r="K51" s="31">
        <f>IF($A51="","",IF(Builders!$B48="","MISSING",IF(COUNTIFS('Title Contacts'!$A$2:$A$601,Builders!$B48,'Title Contacts'!$B$2:$B$601,"*agent*",'Title Contacts'!$C$2:$C$601,"&lt;&gt;")&gt;0,"OK","MISSING")))</f>
        <v/>
      </c>
      <c r="L51" s="31">
        <f>IF($A51="","",IF(Builders!$B48="","MISSING",IF(COUNTIFS('Title Contacts'!$A$2:$A$601,Builders!$B48,'Title Contacts'!$B$2:$B$601,"*assistant*",'Title Contacts'!$C$2:$C$601,"&lt;&gt;")&gt;0,"OK","MISSING")))</f>
        <v/>
      </c>
      <c r="M51" s="31">
        <f>IF($A51="","",COUNTIF(B51:L51,"MISSING"))</f>
        <v/>
      </c>
    </row>
    <row r="52">
      <c r="A52" s="18">
        <f>IF(Builders!$A49="","",Builders!$A49)</f>
        <v/>
      </c>
      <c r="B52" s="31">
        <f>IF($A52="","",IF(Builders!$B49="","MISSING","OK"))</f>
        <v/>
      </c>
      <c r="C52" s="31">
        <f>IF($A52="","",IF(Builders!$C49="","MISSING","OK"))</f>
        <v/>
      </c>
      <c r="D52" s="31">
        <f>IF($A52="","",IF(Builders!$D49="","MISSING","OK"))</f>
        <v/>
      </c>
      <c r="E52" s="31">
        <f>IF($A52="","",IF(Builders!$F49="","MISSING","OK"))</f>
        <v/>
      </c>
      <c r="F52" s="31">
        <f>IF($A52="","",IF(COUNTIFS(Contacts!$A$2:$A$501,$A52,Contacts!$B$2:$B$501,"*Owner*")+COUNTIFS(Contacts!$A$2:$A$501,$A52,Contacts!$F$2:$F$501,"*owner*")=0,"MISSING","OK"))</f>
        <v/>
      </c>
      <c r="G52" s="31">
        <f>IF($A52="","",IF(COUNTIFS(Contacts!$A$2:$A$501,$A52,Contacts!$B$2:$B$501,"*Listing*")+COUNTIFS(Contacts!$A$2:$A$501,$A52,Contacts!$F$2:$F$501,"*listing agent*")=0,"MISSING","OK"))</f>
        <v/>
      </c>
      <c r="H52" s="31">
        <f>IF($A52="","",IF(COUNTIFS(Contacts!$A$2:$A$501,$A52,Contacts!$B$2:$B$501,"*Builder Rep*")+COUNTIFS(Contacts!$A$2:$A$501,$A52,Contacts!$B$2:$B$501,"Sales*")=0,"MISSING","OK"))</f>
        <v/>
      </c>
      <c r="I52" s="31">
        <f>IF($A52="","",IF(COUNTIFS(Contacts!$A$2:$A$501,$A52,Contacts!$B$2:$B$501,"*Docs*")+COUNTIFS(Contacts!$A$2:$A$501,$A52,Contacts!$F$2:$F$501,"*builder doc*")=0,"MISSING","OK"))</f>
        <v/>
      </c>
      <c r="J52" s="31">
        <f>IF($A52="","",IF(COUNTIFS(Contacts!$A$2:$A$501,$A52,Contacts!$B$2:$B$501,"*Appraisal*")+COUNTIFS(Contacts!$A$2:$A$501,$A52,Contacts!$F$2:$F$501,"*apprais*")=0,"MISSING","OK"))</f>
        <v/>
      </c>
      <c r="K52" s="31">
        <f>IF($A52="","",IF(Builders!$B49="","MISSING",IF(COUNTIFS('Title Contacts'!$A$2:$A$601,Builders!$B49,'Title Contacts'!$B$2:$B$601,"*agent*",'Title Contacts'!$C$2:$C$601,"&lt;&gt;")&gt;0,"OK","MISSING")))</f>
        <v/>
      </c>
      <c r="L52" s="31">
        <f>IF($A52="","",IF(Builders!$B49="","MISSING",IF(COUNTIFS('Title Contacts'!$A$2:$A$601,Builders!$B49,'Title Contacts'!$B$2:$B$601,"*assistant*",'Title Contacts'!$C$2:$C$601,"&lt;&gt;")&gt;0,"OK","MISSING")))</f>
        <v/>
      </c>
      <c r="M52" s="31">
        <f>IF($A52="","",COUNTIF(B52:L52,"MISSING"))</f>
        <v/>
      </c>
    </row>
    <row r="53">
      <c r="A53" s="18">
        <f>IF(Builders!$A50="","",Builders!$A50)</f>
        <v/>
      </c>
      <c r="B53" s="31">
        <f>IF($A53="","",IF(Builders!$B50="","MISSING","OK"))</f>
        <v/>
      </c>
      <c r="C53" s="31">
        <f>IF($A53="","",IF(Builders!$C50="","MISSING","OK"))</f>
        <v/>
      </c>
      <c r="D53" s="31">
        <f>IF($A53="","",IF(Builders!$D50="","MISSING","OK"))</f>
        <v/>
      </c>
      <c r="E53" s="31">
        <f>IF($A53="","",IF(Builders!$F50="","MISSING","OK"))</f>
        <v/>
      </c>
      <c r="F53" s="31">
        <f>IF($A53="","",IF(COUNTIFS(Contacts!$A$2:$A$501,$A53,Contacts!$B$2:$B$501,"*Owner*")+COUNTIFS(Contacts!$A$2:$A$501,$A53,Contacts!$F$2:$F$501,"*owner*")=0,"MISSING","OK"))</f>
        <v/>
      </c>
      <c r="G53" s="31">
        <f>IF($A53="","",IF(COUNTIFS(Contacts!$A$2:$A$501,$A53,Contacts!$B$2:$B$501,"*Listing*")+COUNTIFS(Contacts!$A$2:$A$501,$A53,Contacts!$F$2:$F$501,"*listing agent*")=0,"MISSING","OK"))</f>
        <v/>
      </c>
      <c r="H53" s="31">
        <f>IF($A53="","",IF(COUNTIFS(Contacts!$A$2:$A$501,$A53,Contacts!$B$2:$B$501,"*Builder Rep*")+COUNTIFS(Contacts!$A$2:$A$501,$A53,Contacts!$B$2:$B$501,"Sales*")=0,"MISSING","OK"))</f>
        <v/>
      </c>
      <c r="I53" s="31">
        <f>IF($A53="","",IF(COUNTIFS(Contacts!$A$2:$A$501,$A53,Contacts!$B$2:$B$501,"*Docs*")+COUNTIFS(Contacts!$A$2:$A$501,$A53,Contacts!$F$2:$F$501,"*builder doc*")=0,"MISSING","OK"))</f>
        <v/>
      </c>
      <c r="J53" s="31">
        <f>IF($A53="","",IF(COUNTIFS(Contacts!$A$2:$A$501,$A53,Contacts!$B$2:$B$501,"*Appraisal*")+COUNTIFS(Contacts!$A$2:$A$501,$A53,Contacts!$F$2:$F$501,"*apprais*")=0,"MISSING","OK"))</f>
        <v/>
      </c>
      <c r="K53" s="31">
        <f>IF($A53="","",IF(Builders!$B50="","MISSING",IF(COUNTIFS('Title Contacts'!$A$2:$A$601,Builders!$B50,'Title Contacts'!$B$2:$B$601,"*agent*",'Title Contacts'!$C$2:$C$601,"&lt;&gt;")&gt;0,"OK","MISSING")))</f>
        <v/>
      </c>
      <c r="L53" s="31">
        <f>IF($A53="","",IF(Builders!$B50="","MISSING",IF(COUNTIFS('Title Contacts'!$A$2:$A$601,Builders!$B50,'Title Contacts'!$B$2:$B$601,"*assistant*",'Title Contacts'!$C$2:$C$601,"&lt;&gt;")&gt;0,"OK","MISSING")))</f>
        <v/>
      </c>
      <c r="M53" s="31">
        <f>IF($A53="","",COUNTIF(B53:L53,"MISSING"))</f>
        <v/>
      </c>
    </row>
    <row r="54">
      <c r="A54" s="18">
        <f>IF(Builders!$A51="","",Builders!$A51)</f>
        <v/>
      </c>
      <c r="B54" s="31">
        <f>IF($A54="","",IF(Builders!$B51="","MISSING","OK"))</f>
        <v/>
      </c>
      <c r="C54" s="31">
        <f>IF($A54="","",IF(Builders!$C51="","MISSING","OK"))</f>
        <v/>
      </c>
      <c r="D54" s="31">
        <f>IF($A54="","",IF(Builders!$D51="","MISSING","OK"))</f>
        <v/>
      </c>
      <c r="E54" s="31">
        <f>IF($A54="","",IF(Builders!$F51="","MISSING","OK"))</f>
        <v/>
      </c>
      <c r="F54" s="31">
        <f>IF($A54="","",IF(COUNTIFS(Contacts!$A$2:$A$501,$A54,Contacts!$B$2:$B$501,"*Owner*")+COUNTIFS(Contacts!$A$2:$A$501,$A54,Contacts!$F$2:$F$501,"*owner*")=0,"MISSING","OK"))</f>
        <v/>
      </c>
      <c r="G54" s="31">
        <f>IF($A54="","",IF(COUNTIFS(Contacts!$A$2:$A$501,$A54,Contacts!$B$2:$B$501,"*Listing*")+COUNTIFS(Contacts!$A$2:$A$501,$A54,Contacts!$F$2:$F$501,"*listing agent*")=0,"MISSING","OK"))</f>
        <v/>
      </c>
      <c r="H54" s="31">
        <f>IF($A54="","",IF(COUNTIFS(Contacts!$A$2:$A$501,$A54,Contacts!$B$2:$B$501,"*Builder Rep*")+COUNTIFS(Contacts!$A$2:$A$501,$A54,Contacts!$B$2:$B$501,"Sales*")=0,"MISSING","OK"))</f>
        <v/>
      </c>
      <c r="I54" s="31">
        <f>IF($A54="","",IF(COUNTIFS(Contacts!$A$2:$A$501,$A54,Contacts!$B$2:$B$501,"*Docs*")+COUNTIFS(Contacts!$A$2:$A$501,$A54,Contacts!$F$2:$F$501,"*builder doc*")=0,"MISSING","OK"))</f>
        <v/>
      </c>
      <c r="J54" s="31">
        <f>IF($A54="","",IF(COUNTIFS(Contacts!$A$2:$A$501,$A54,Contacts!$B$2:$B$501,"*Appraisal*")+COUNTIFS(Contacts!$A$2:$A$501,$A54,Contacts!$F$2:$F$501,"*apprais*")=0,"MISSING","OK"))</f>
        <v/>
      </c>
      <c r="K54" s="31">
        <f>IF($A54="","",IF(Builders!$B51="","MISSING",IF(COUNTIFS('Title Contacts'!$A$2:$A$601,Builders!$B51,'Title Contacts'!$B$2:$B$601,"*agent*",'Title Contacts'!$C$2:$C$601,"&lt;&gt;")&gt;0,"OK","MISSING")))</f>
        <v/>
      </c>
      <c r="L54" s="31">
        <f>IF($A54="","",IF(Builders!$B51="","MISSING",IF(COUNTIFS('Title Contacts'!$A$2:$A$601,Builders!$B51,'Title Contacts'!$B$2:$B$601,"*assistant*",'Title Contacts'!$C$2:$C$601,"&lt;&gt;")&gt;0,"OK","MISSING")))</f>
        <v/>
      </c>
      <c r="M54" s="31">
        <f>IF($A54="","",COUNTIF(B54:L54,"MISSING"))</f>
        <v/>
      </c>
    </row>
    <row r="55">
      <c r="A55" s="18">
        <f>IF(Builders!$A52="","",Builders!$A52)</f>
        <v/>
      </c>
      <c r="B55" s="31">
        <f>IF($A55="","",IF(Builders!$B52="","MISSING","OK"))</f>
        <v/>
      </c>
      <c r="C55" s="31">
        <f>IF($A55="","",IF(Builders!$C52="","MISSING","OK"))</f>
        <v/>
      </c>
      <c r="D55" s="31">
        <f>IF($A55="","",IF(Builders!$D52="","MISSING","OK"))</f>
        <v/>
      </c>
      <c r="E55" s="31">
        <f>IF($A55="","",IF(Builders!$F52="","MISSING","OK"))</f>
        <v/>
      </c>
      <c r="F55" s="31">
        <f>IF($A55="","",IF(COUNTIFS(Contacts!$A$2:$A$501,$A55,Contacts!$B$2:$B$501,"*Owner*")+COUNTIFS(Contacts!$A$2:$A$501,$A55,Contacts!$F$2:$F$501,"*owner*")=0,"MISSING","OK"))</f>
        <v/>
      </c>
      <c r="G55" s="31">
        <f>IF($A55="","",IF(COUNTIFS(Contacts!$A$2:$A$501,$A55,Contacts!$B$2:$B$501,"*Listing*")+COUNTIFS(Contacts!$A$2:$A$501,$A55,Contacts!$F$2:$F$501,"*listing agent*")=0,"MISSING","OK"))</f>
        <v/>
      </c>
      <c r="H55" s="31">
        <f>IF($A55="","",IF(COUNTIFS(Contacts!$A$2:$A$501,$A55,Contacts!$B$2:$B$501,"*Builder Rep*")+COUNTIFS(Contacts!$A$2:$A$501,$A55,Contacts!$B$2:$B$501,"Sales*")=0,"MISSING","OK"))</f>
        <v/>
      </c>
      <c r="I55" s="31">
        <f>IF($A55="","",IF(COUNTIFS(Contacts!$A$2:$A$501,$A55,Contacts!$B$2:$B$501,"*Docs*")+COUNTIFS(Contacts!$A$2:$A$501,$A55,Contacts!$F$2:$F$501,"*builder doc*")=0,"MISSING","OK"))</f>
        <v/>
      </c>
      <c r="J55" s="31">
        <f>IF($A55="","",IF(COUNTIFS(Contacts!$A$2:$A$501,$A55,Contacts!$B$2:$B$501,"*Appraisal*")+COUNTIFS(Contacts!$A$2:$A$501,$A55,Contacts!$F$2:$F$501,"*apprais*")=0,"MISSING","OK"))</f>
        <v/>
      </c>
      <c r="K55" s="31">
        <f>IF($A55="","",IF(Builders!$B52="","MISSING",IF(COUNTIFS('Title Contacts'!$A$2:$A$601,Builders!$B52,'Title Contacts'!$B$2:$B$601,"*agent*",'Title Contacts'!$C$2:$C$601,"&lt;&gt;")&gt;0,"OK","MISSING")))</f>
        <v/>
      </c>
      <c r="L55" s="31">
        <f>IF($A55="","",IF(Builders!$B52="","MISSING",IF(COUNTIFS('Title Contacts'!$A$2:$A$601,Builders!$B52,'Title Contacts'!$B$2:$B$601,"*assistant*",'Title Contacts'!$C$2:$C$601,"&lt;&gt;")&gt;0,"OK","MISSING")))</f>
        <v/>
      </c>
      <c r="M55" s="31">
        <f>IF($A55="","",COUNTIF(B55:L55,"MISSING"))</f>
        <v/>
      </c>
    </row>
    <row r="56">
      <c r="A56" s="18">
        <f>IF(Builders!$A53="","",Builders!$A53)</f>
        <v/>
      </c>
      <c r="B56" s="31">
        <f>IF($A56="","",IF(Builders!$B53="","MISSING","OK"))</f>
        <v/>
      </c>
      <c r="C56" s="31">
        <f>IF($A56="","",IF(Builders!$C53="","MISSING","OK"))</f>
        <v/>
      </c>
      <c r="D56" s="31">
        <f>IF($A56="","",IF(Builders!$D53="","MISSING","OK"))</f>
        <v/>
      </c>
      <c r="E56" s="31">
        <f>IF($A56="","",IF(Builders!$F53="","MISSING","OK"))</f>
        <v/>
      </c>
      <c r="F56" s="31">
        <f>IF($A56="","",IF(COUNTIFS(Contacts!$A$2:$A$501,$A56,Contacts!$B$2:$B$501,"*Owner*")+COUNTIFS(Contacts!$A$2:$A$501,$A56,Contacts!$F$2:$F$501,"*owner*")=0,"MISSING","OK"))</f>
        <v/>
      </c>
      <c r="G56" s="31">
        <f>IF($A56="","",IF(COUNTIFS(Contacts!$A$2:$A$501,$A56,Contacts!$B$2:$B$501,"*Listing*")+COUNTIFS(Contacts!$A$2:$A$501,$A56,Contacts!$F$2:$F$501,"*listing agent*")=0,"MISSING","OK"))</f>
        <v/>
      </c>
      <c r="H56" s="31">
        <f>IF($A56="","",IF(COUNTIFS(Contacts!$A$2:$A$501,$A56,Contacts!$B$2:$B$501,"*Builder Rep*")+COUNTIFS(Contacts!$A$2:$A$501,$A56,Contacts!$B$2:$B$501,"Sales*")=0,"MISSING","OK"))</f>
        <v/>
      </c>
      <c r="I56" s="31">
        <f>IF($A56="","",IF(COUNTIFS(Contacts!$A$2:$A$501,$A56,Contacts!$B$2:$B$501,"*Docs*")+COUNTIFS(Contacts!$A$2:$A$501,$A56,Contacts!$F$2:$F$501,"*builder doc*")=0,"MISSING","OK"))</f>
        <v/>
      </c>
      <c r="J56" s="31">
        <f>IF($A56="","",IF(COUNTIFS(Contacts!$A$2:$A$501,$A56,Contacts!$B$2:$B$501,"*Appraisal*")+COUNTIFS(Contacts!$A$2:$A$501,$A56,Contacts!$F$2:$F$501,"*apprais*")=0,"MISSING","OK"))</f>
        <v/>
      </c>
      <c r="K56" s="31">
        <f>IF($A56="","",IF(Builders!$B53="","MISSING",IF(COUNTIFS('Title Contacts'!$A$2:$A$601,Builders!$B53,'Title Contacts'!$B$2:$B$601,"*agent*",'Title Contacts'!$C$2:$C$601,"&lt;&gt;")&gt;0,"OK","MISSING")))</f>
        <v/>
      </c>
      <c r="L56" s="31">
        <f>IF($A56="","",IF(Builders!$B53="","MISSING",IF(COUNTIFS('Title Contacts'!$A$2:$A$601,Builders!$B53,'Title Contacts'!$B$2:$B$601,"*assistant*",'Title Contacts'!$C$2:$C$601,"&lt;&gt;")&gt;0,"OK","MISSING")))</f>
        <v/>
      </c>
      <c r="M56" s="31">
        <f>IF($A56="","",COUNTIF(B56:L56,"MISSING"))</f>
        <v/>
      </c>
    </row>
    <row r="57">
      <c r="A57" s="18">
        <f>IF(Builders!$A54="","",Builders!$A54)</f>
        <v/>
      </c>
      <c r="B57" s="31">
        <f>IF($A57="","",IF(Builders!$B54="","MISSING","OK"))</f>
        <v/>
      </c>
      <c r="C57" s="31">
        <f>IF($A57="","",IF(Builders!$C54="","MISSING","OK"))</f>
        <v/>
      </c>
      <c r="D57" s="31">
        <f>IF($A57="","",IF(Builders!$D54="","MISSING","OK"))</f>
        <v/>
      </c>
      <c r="E57" s="31">
        <f>IF($A57="","",IF(Builders!$F54="","MISSING","OK"))</f>
        <v/>
      </c>
      <c r="F57" s="31">
        <f>IF($A57="","",IF(COUNTIFS(Contacts!$A$2:$A$501,$A57,Contacts!$B$2:$B$501,"*Owner*")+COUNTIFS(Contacts!$A$2:$A$501,$A57,Contacts!$F$2:$F$501,"*owner*")=0,"MISSING","OK"))</f>
        <v/>
      </c>
      <c r="G57" s="31">
        <f>IF($A57="","",IF(COUNTIFS(Contacts!$A$2:$A$501,$A57,Contacts!$B$2:$B$501,"*Listing*")+COUNTIFS(Contacts!$A$2:$A$501,$A57,Contacts!$F$2:$F$501,"*listing agent*")=0,"MISSING","OK"))</f>
        <v/>
      </c>
      <c r="H57" s="31">
        <f>IF($A57="","",IF(COUNTIFS(Contacts!$A$2:$A$501,$A57,Contacts!$B$2:$B$501,"*Builder Rep*")+COUNTIFS(Contacts!$A$2:$A$501,$A57,Contacts!$B$2:$B$501,"Sales*")=0,"MISSING","OK"))</f>
        <v/>
      </c>
      <c r="I57" s="31">
        <f>IF($A57="","",IF(COUNTIFS(Contacts!$A$2:$A$501,$A57,Contacts!$B$2:$B$501,"*Docs*")+COUNTIFS(Contacts!$A$2:$A$501,$A57,Contacts!$F$2:$F$501,"*builder doc*")=0,"MISSING","OK"))</f>
        <v/>
      </c>
      <c r="J57" s="31">
        <f>IF($A57="","",IF(COUNTIFS(Contacts!$A$2:$A$501,$A57,Contacts!$B$2:$B$501,"*Appraisal*")+COUNTIFS(Contacts!$A$2:$A$501,$A57,Contacts!$F$2:$F$501,"*apprais*")=0,"MISSING","OK"))</f>
        <v/>
      </c>
      <c r="K57" s="31">
        <f>IF($A57="","",IF(Builders!$B54="","MISSING",IF(COUNTIFS('Title Contacts'!$A$2:$A$601,Builders!$B54,'Title Contacts'!$B$2:$B$601,"*agent*",'Title Contacts'!$C$2:$C$601,"&lt;&gt;")&gt;0,"OK","MISSING")))</f>
        <v/>
      </c>
      <c r="L57" s="31">
        <f>IF($A57="","",IF(Builders!$B54="","MISSING",IF(COUNTIFS('Title Contacts'!$A$2:$A$601,Builders!$B54,'Title Contacts'!$B$2:$B$601,"*assistant*",'Title Contacts'!$C$2:$C$601,"&lt;&gt;")&gt;0,"OK","MISSING")))</f>
        <v/>
      </c>
      <c r="M57" s="31">
        <f>IF($A57="","",COUNTIF(B57:L57,"MISSING"))</f>
        <v/>
      </c>
    </row>
    <row r="58">
      <c r="A58" s="18">
        <f>IF(Builders!$A55="","",Builders!$A55)</f>
        <v/>
      </c>
      <c r="B58" s="31">
        <f>IF($A58="","",IF(Builders!$B55="","MISSING","OK"))</f>
        <v/>
      </c>
      <c r="C58" s="31">
        <f>IF($A58="","",IF(Builders!$C55="","MISSING","OK"))</f>
        <v/>
      </c>
      <c r="D58" s="31">
        <f>IF($A58="","",IF(Builders!$D55="","MISSING","OK"))</f>
        <v/>
      </c>
      <c r="E58" s="31">
        <f>IF($A58="","",IF(Builders!$F55="","MISSING","OK"))</f>
        <v/>
      </c>
      <c r="F58" s="31">
        <f>IF($A58="","",IF(COUNTIFS(Contacts!$A$2:$A$501,$A58,Contacts!$B$2:$B$501,"*Owner*")+COUNTIFS(Contacts!$A$2:$A$501,$A58,Contacts!$F$2:$F$501,"*owner*")=0,"MISSING","OK"))</f>
        <v/>
      </c>
      <c r="G58" s="31">
        <f>IF($A58="","",IF(COUNTIFS(Contacts!$A$2:$A$501,$A58,Contacts!$B$2:$B$501,"*Listing*")+COUNTIFS(Contacts!$A$2:$A$501,$A58,Contacts!$F$2:$F$501,"*listing agent*")=0,"MISSING","OK"))</f>
        <v/>
      </c>
      <c r="H58" s="31">
        <f>IF($A58="","",IF(COUNTIFS(Contacts!$A$2:$A$501,$A58,Contacts!$B$2:$B$501,"*Builder Rep*")+COUNTIFS(Contacts!$A$2:$A$501,$A58,Contacts!$B$2:$B$501,"Sales*")=0,"MISSING","OK"))</f>
        <v/>
      </c>
      <c r="I58" s="31">
        <f>IF($A58="","",IF(COUNTIFS(Contacts!$A$2:$A$501,$A58,Contacts!$B$2:$B$501,"*Docs*")+COUNTIFS(Contacts!$A$2:$A$501,$A58,Contacts!$F$2:$F$501,"*builder doc*")=0,"MISSING","OK"))</f>
        <v/>
      </c>
      <c r="J58" s="31">
        <f>IF($A58="","",IF(COUNTIFS(Contacts!$A$2:$A$501,$A58,Contacts!$B$2:$B$501,"*Appraisal*")+COUNTIFS(Contacts!$A$2:$A$501,$A58,Contacts!$F$2:$F$501,"*apprais*")=0,"MISSING","OK"))</f>
        <v/>
      </c>
      <c r="K58" s="31">
        <f>IF($A58="","",IF(Builders!$B55="","MISSING",IF(COUNTIFS('Title Contacts'!$A$2:$A$601,Builders!$B55,'Title Contacts'!$B$2:$B$601,"*agent*",'Title Contacts'!$C$2:$C$601,"&lt;&gt;")&gt;0,"OK","MISSING")))</f>
        <v/>
      </c>
      <c r="L58" s="31">
        <f>IF($A58="","",IF(Builders!$B55="","MISSING",IF(COUNTIFS('Title Contacts'!$A$2:$A$601,Builders!$B55,'Title Contacts'!$B$2:$B$601,"*assistant*",'Title Contacts'!$C$2:$C$601,"&lt;&gt;")&gt;0,"OK","MISSING")))</f>
        <v/>
      </c>
      <c r="M58" s="31">
        <f>IF($A58="","",COUNTIF(B58:L58,"MISSING"))</f>
        <v/>
      </c>
    </row>
    <row r="59">
      <c r="A59" s="18">
        <f>IF(Builders!$A56="","",Builders!$A56)</f>
        <v/>
      </c>
      <c r="B59" s="31">
        <f>IF($A59="","",IF(Builders!$B56="","MISSING","OK"))</f>
        <v/>
      </c>
      <c r="C59" s="31">
        <f>IF($A59="","",IF(Builders!$C56="","MISSING","OK"))</f>
        <v/>
      </c>
      <c r="D59" s="31">
        <f>IF($A59="","",IF(Builders!$D56="","MISSING","OK"))</f>
        <v/>
      </c>
      <c r="E59" s="31">
        <f>IF($A59="","",IF(Builders!$F56="","MISSING","OK"))</f>
        <v/>
      </c>
      <c r="F59" s="31">
        <f>IF($A59="","",IF(COUNTIFS(Contacts!$A$2:$A$501,$A59,Contacts!$B$2:$B$501,"*Owner*")+COUNTIFS(Contacts!$A$2:$A$501,$A59,Contacts!$F$2:$F$501,"*owner*")=0,"MISSING","OK"))</f>
        <v/>
      </c>
      <c r="G59" s="31">
        <f>IF($A59="","",IF(COUNTIFS(Contacts!$A$2:$A$501,$A59,Contacts!$B$2:$B$501,"*Listing*")+COUNTIFS(Contacts!$A$2:$A$501,$A59,Contacts!$F$2:$F$501,"*listing agent*")=0,"MISSING","OK"))</f>
        <v/>
      </c>
      <c r="H59" s="31">
        <f>IF($A59="","",IF(COUNTIFS(Contacts!$A$2:$A$501,$A59,Contacts!$B$2:$B$501,"*Builder Rep*")+COUNTIFS(Contacts!$A$2:$A$501,$A59,Contacts!$B$2:$B$501,"Sales*")=0,"MISSING","OK"))</f>
        <v/>
      </c>
      <c r="I59" s="31">
        <f>IF($A59="","",IF(COUNTIFS(Contacts!$A$2:$A$501,$A59,Contacts!$B$2:$B$501,"*Docs*")+COUNTIFS(Contacts!$A$2:$A$501,$A59,Contacts!$F$2:$F$501,"*builder doc*")=0,"MISSING","OK"))</f>
        <v/>
      </c>
      <c r="J59" s="31">
        <f>IF($A59="","",IF(COUNTIFS(Contacts!$A$2:$A$501,$A59,Contacts!$B$2:$B$501,"*Appraisal*")+COUNTIFS(Contacts!$A$2:$A$501,$A59,Contacts!$F$2:$F$501,"*apprais*")=0,"MISSING","OK"))</f>
        <v/>
      </c>
      <c r="K59" s="31">
        <f>IF($A59="","",IF(Builders!$B56="","MISSING",IF(COUNTIFS('Title Contacts'!$A$2:$A$601,Builders!$B56,'Title Contacts'!$B$2:$B$601,"*agent*",'Title Contacts'!$C$2:$C$601,"&lt;&gt;")&gt;0,"OK","MISSING")))</f>
        <v/>
      </c>
      <c r="L59" s="31">
        <f>IF($A59="","",IF(Builders!$B56="","MISSING",IF(COUNTIFS('Title Contacts'!$A$2:$A$601,Builders!$B56,'Title Contacts'!$B$2:$B$601,"*assistant*",'Title Contacts'!$C$2:$C$601,"&lt;&gt;")&gt;0,"OK","MISSING")))</f>
        <v/>
      </c>
      <c r="M59" s="31">
        <f>IF($A59="","",COUNTIF(B59:L59,"MISSING"))</f>
        <v/>
      </c>
    </row>
    <row r="60">
      <c r="A60" s="18">
        <f>IF(Builders!$A57="","",Builders!$A57)</f>
        <v/>
      </c>
      <c r="B60" s="31">
        <f>IF($A60="","",IF(Builders!$B57="","MISSING","OK"))</f>
        <v/>
      </c>
      <c r="C60" s="31">
        <f>IF($A60="","",IF(Builders!$C57="","MISSING","OK"))</f>
        <v/>
      </c>
      <c r="D60" s="31">
        <f>IF($A60="","",IF(Builders!$D57="","MISSING","OK"))</f>
        <v/>
      </c>
      <c r="E60" s="31">
        <f>IF($A60="","",IF(Builders!$F57="","MISSING","OK"))</f>
        <v/>
      </c>
      <c r="F60" s="31">
        <f>IF($A60="","",IF(COUNTIFS(Contacts!$A$2:$A$501,$A60,Contacts!$B$2:$B$501,"*Owner*")+COUNTIFS(Contacts!$A$2:$A$501,$A60,Contacts!$F$2:$F$501,"*owner*")=0,"MISSING","OK"))</f>
        <v/>
      </c>
      <c r="G60" s="31">
        <f>IF($A60="","",IF(COUNTIFS(Contacts!$A$2:$A$501,$A60,Contacts!$B$2:$B$501,"*Listing*")+COUNTIFS(Contacts!$A$2:$A$501,$A60,Contacts!$F$2:$F$501,"*listing agent*")=0,"MISSING","OK"))</f>
        <v/>
      </c>
      <c r="H60" s="31">
        <f>IF($A60="","",IF(COUNTIFS(Contacts!$A$2:$A$501,$A60,Contacts!$B$2:$B$501,"*Builder Rep*")+COUNTIFS(Contacts!$A$2:$A$501,$A60,Contacts!$B$2:$B$501,"Sales*")=0,"MISSING","OK"))</f>
        <v/>
      </c>
      <c r="I60" s="31">
        <f>IF($A60="","",IF(COUNTIFS(Contacts!$A$2:$A$501,$A60,Contacts!$B$2:$B$501,"*Docs*")+COUNTIFS(Contacts!$A$2:$A$501,$A60,Contacts!$F$2:$F$501,"*builder doc*")=0,"MISSING","OK"))</f>
        <v/>
      </c>
      <c r="J60" s="31">
        <f>IF($A60="","",IF(COUNTIFS(Contacts!$A$2:$A$501,$A60,Contacts!$B$2:$B$501,"*Appraisal*")+COUNTIFS(Contacts!$A$2:$A$501,$A60,Contacts!$F$2:$F$501,"*apprais*")=0,"MISSING","OK"))</f>
        <v/>
      </c>
      <c r="K60" s="31">
        <f>IF($A60="","",IF(Builders!$B57="","MISSING",IF(COUNTIFS('Title Contacts'!$A$2:$A$601,Builders!$B57,'Title Contacts'!$B$2:$B$601,"*agent*",'Title Contacts'!$C$2:$C$601,"&lt;&gt;")&gt;0,"OK","MISSING")))</f>
        <v/>
      </c>
      <c r="L60" s="31">
        <f>IF($A60="","",IF(Builders!$B57="","MISSING",IF(COUNTIFS('Title Contacts'!$A$2:$A$601,Builders!$B57,'Title Contacts'!$B$2:$B$601,"*assistant*",'Title Contacts'!$C$2:$C$601,"&lt;&gt;")&gt;0,"OK","MISSING")))</f>
        <v/>
      </c>
      <c r="M60" s="31">
        <f>IF($A60="","",COUNTIF(B60:L60,"MISSING"))</f>
        <v/>
      </c>
    </row>
    <row r="61">
      <c r="A61" s="18">
        <f>IF(Builders!$A58="","",Builders!$A58)</f>
        <v/>
      </c>
      <c r="B61" s="31">
        <f>IF($A61="","",IF(Builders!$B58="","MISSING","OK"))</f>
        <v/>
      </c>
      <c r="C61" s="31">
        <f>IF($A61="","",IF(Builders!$C58="","MISSING","OK"))</f>
        <v/>
      </c>
      <c r="D61" s="31">
        <f>IF($A61="","",IF(Builders!$D58="","MISSING","OK"))</f>
        <v/>
      </c>
      <c r="E61" s="31">
        <f>IF($A61="","",IF(Builders!$F58="","MISSING","OK"))</f>
        <v/>
      </c>
      <c r="F61" s="31">
        <f>IF($A61="","",IF(COUNTIFS(Contacts!$A$2:$A$501,$A61,Contacts!$B$2:$B$501,"*Owner*")+COUNTIFS(Contacts!$A$2:$A$501,$A61,Contacts!$F$2:$F$501,"*owner*")=0,"MISSING","OK"))</f>
        <v/>
      </c>
      <c r="G61" s="31">
        <f>IF($A61="","",IF(COUNTIFS(Contacts!$A$2:$A$501,$A61,Contacts!$B$2:$B$501,"*Listing*")+COUNTIFS(Contacts!$A$2:$A$501,$A61,Contacts!$F$2:$F$501,"*listing agent*")=0,"MISSING","OK"))</f>
        <v/>
      </c>
      <c r="H61" s="31">
        <f>IF($A61="","",IF(COUNTIFS(Contacts!$A$2:$A$501,$A61,Contacts!$B$2:$B$501,"*Builder Rep*")+COUNTIFS(Contacts!$A$2:$A$501,$A61,Contacts!$B$2:$B$501,"Sales*")=0,"MISSING","OK"))</f>
        <v/>
      </c>
      <c r="I61" s="31">
        <f>IF($A61="","",IF(COUNTIFS(Contacts!$A$2:$A$501,$A61,Contacts!$B$2:$B$501,"*Docs*")+COUNTIFS(Contacts!$A$2:$A$501,$A61,Contacts!$F$2:$F$501,"*builder doc*")=0,"MISSING","OK"))</f>
        <v/>
      </c>
      <c r="J61" s="31">
        <f>IF($A61="","",IF(COUNTIFS(Contacts!$A$2:$A$501,$A61,Contacts!$B$2:$B$501,"*Appraisal*")+COUNTIFS(Contacts!$A$2:$A$501,$A61,Contacts!$F$2:$F$501,"*apprais*")=0,"MISSING","OK"))</f>
        <v/>
      </c>
      <c r="K61" s="31">
        <f>IF($A61="","",IF(Builders!$B58="","MISSING",IF(COUNTIFS('Title Contacts'!$A$2:$A$601,Builders!$B58,'Title Contacts'!$B$2:$B$601,"*agent*",'Title Contacts'!$C$2:$C$601,"&lt;&gt;")&gt;0,"OK","MISSING")))</f>
        <v/>
      </c>
      <c r="L61" s="31">
        <f>IF($A61="","",IF(Builders!$B58="","MISSING",IF(COUNTIFS('Title Contacts'!$A$2:$A$601,Builders!$B58,'Title Contacts'!$B$2:$B$601,"*assistant*",'Title Contacts'!$C$2:$C$601,"&lt;&gt;")&gt;0,"OK","MISSING")))</f>
        <v/>
      </c>
      <c r="M61" s="31">
        <f>IF($A61="","",COUNTIF(B61:L61,"MISSING"))</f>
        <v/>
      </c>
    </row>
    <row r="62">
      <c r="A62" s="18">
        <f>IF(Builders!$A59="","",Builders!$A59)</f>
        <v/>
      </c>
      <c r="B62" s="31">
        <f>IF($A62="","",IF(Builders!$B59="","MISSING","OK"))</f>
        <v/>
      </c>
      <c r="C62" s="31">
        <f>IF($A62="","",IF(Builders!$C59="","MISSING","OK"))</f>
        <v/>
      </c>
      <c r="D62" s="31">
        <f>IF($A62="","",IF(Builders!$D59="","MISSING","OK"))</f>
        <v/>
      </c>
      <c r="E62" s="31">
        <f>IF($A62="","",IF(Builders!$F59="","MISSING","OK"))</f>
        <v/>
      </c>
      <c r="F62" s="31">
        <f>IF($A62="","",IF(COUNTIFS(Contacts!$A$2:$A$501,$A62,Contacts!$B$2:$B$501,"*Owner*")+COUNTIFS(Contacts!$A$2:$A$501,$A62,Contacts!$F$2:$F$501,"*owner*")=0,"MISSING","OK"))</f>
        <v/>
      </c>
      <c r="G62" s="31">
        <f>IF($A62="","",IF(COUNTIFS(Contacts!$A$2:$A$501,$A62,Contacts!$B$2:$B$501,"*Listing*")+COUNTIFS(Contacts!$A$2:$A$501,$A62,Contacts!$F$2:$F$501,"*listing agent*")=0,"MISSING","OK"))</f>
        <v/>
      </c>
      <c r="H62" s="31">
        <f>IF($A62="","",IF(COUNTIFS(Contacts!$A$2:$A$501,$A62,Contacts!$B$2:$B$501,"*Builder Rep*")+COUNTIFS(Contacts!$A$2:$A$501,$A62,Contacts!$B$2:$B$501,"Sales*")=0,"MISSING","OK"))</f>
        <v/>
      </c>
      <c r="I62" s="31">
        <f>IF($A62="","",IF(COUNTIFS(Contacts!$A$2:$A$501,$A62,Contacts!$B$2:$B$501,"*Docs*")+COUNTIFS(Contacts!$A$2:$A$501,$A62,Contacts!$F$2:$F$501,"*builder doc*")=0,"MISSING","OK"))</f>
        <v/>
      </c>
      <c r="J62" s="31">
        <f>IF($A62="","",IF(COUNTIFS(Contacts!$A$2:$A$501,$A62,Contacts!$B$2:$B$501,"*Appraisal*")+COUNTIFS(Contacts!$A$2:$A$501,$A62,Contacts!$F$2:$F$501,"*apprais*")=0,"MISSING","OK"))</f>
        <v/>
      </c>
      <c r="K62" s="31">
        <f>IF($A62="","",IF(Builders!$B59="","MISSING",IF(COUNTIFS('Title Contacts'!$A$2:$A$601,Builders!$B59,'Title Contacts'!$B$2:$B$601,"*agent*",'Title Contacts'!$C$2:$C$601,"&lt;&gt;")&gt;0,"OK","MISSING")))</f>
        <v/>
      </c>
      <c r="L62" s="31">
        <f>IF($A62="","",IF(Builders!$B59="","MISSING",IF(COUNTIFS('Title Contacts'!$A$2:$A$601,Builders!$B59,'Title Contacts'!$B$2:$B$601,"*assistant*",'Title Contacts'!$C$2:$C$601,"&lt;&gt;")&gt;0,"OK","MISSING")))</f>
        <v/>
      </c>
      <c r="M62" s="31">
        <f>IF($A62="","",COUNTIF(B62:L62,"MISSING"))</f>
        <v/>
      </c>
    </row>
    <row r="63">
      <c r="A63" s="18">
        <f>IF(Builders!$A60="","",Builders!$A60)</f>
        <v/>
      </c>
      <c r="B63" s="31">
        <f>IF($A63="","",IF(Builders!$B60="","MISSING","OK"))</f>
        <v/>
      </c>
      <c r="C63" s="31">
        <f>IF($A63="","",IF(Builders!$C60="","MISSING","OK"))</f>
        <v/>
      </c>
      <c r="D63" s="31">
        <f>IF($A63="","",IF(Builders!$D60="","MISSING","OK"))</f>
        <v/>
      </c>
      <c r="E63" s="31">
        <f>IF($A63="","",IF(Builders!$F60="","MISSING","OK"))</f>
        <v/>
      </c>
      <c r="F63" s="31">
        <f>IF($A63="","",IF(COUNTIFS(Contacts!$A$2:$A$501,$A63,Contacts!$B$2:$B$501,"*Owner*")+COUNTIFS(Contacts!$A$2:$A$501,$A63,Contacts!$F$2:$F$501,"*owner*")=0,"MISSING","OK"))</f>
        <v/>
      </c>
      <c r="G63" s="31">
        <f>IF($A63="","",IF(COUNTIFS(Contacts!$A$2:$A$501,$A63,Contacts!$B$2:$B$501,"*Listing*")+COUNTIFS(Contacts!$A$2:$A$501,$A63,Contacts!$F$2:$F$501,"*listing agent*")=0,"MISSING","OK"))</f>
        <v/>
      </c>
      <c r="H63" s="31">
        <f>IF($A63="","",IF(COUNTIFS(Contacts!$A$2:$A$501,$A63,Contacts!$B$2:$B$501,"*Builder Rep*")+COUNTIFS(Contacts!$A$2:$A$501,$A63,Contacts!$B$2:$B$501,"Sales*")=0,"MISSING","OK"))</f>
        <v/>
      </c>
      <c r="I63" s="31">
        <f>IF($A63="","",IF(COUNTIFS(Contacts!$A$2:$A$501,$A63,Contacts!$B$2:$B$501,"*Docs*")+COUNTIFS(Contacts!$A$2:$A$501,$A63,Contacts!$F$2:$F$501,"*builder doc*")=0,"MISSING","OK"))</f>
        <v/>
      </c>
      <c r="J63" s="31">
        <f>IF($A63="","",IF(COUNTIFS(Contacts!$A$2:$A$501,$A63,Contacts!$B$2:$B$501,"*Appraisal*")+COUNTIFS(Contacts!$A$2:$A$501,$A63,Contacts!$F$2:$F$501,"*apprais*")=0,"MISSING","OK"))</f>
        <v/>
      </c>
      <c r="K63" s="31">
        <f>IF($A63="","",IF(Builders!$B60="","MISSING",IF(COUNTIFS('Title Contacts'!$A$2:$A$601,Builders!$B60,'Title Contacts'!$B$2:$B$601,"*agent*",'Title Contacts'!$C$2:$C$601,"&lt;&gt;")&gt;0,"OK","MISSING")))</f>
        <v/>
      </c>
      <c r="L63" s="31">
        <f>IF($A63="","",IF(Builders!$B60="","MISSING",IF(COUNTIFS('Title Contacts'!$A$2:$A$601,Builders!$B60,'Title Contacts'!$B$2:$B$601,"*assistant*",'Title Contacts'!$C$2:$C$601,"&lt;&gt;")&gt;0,"OK","MISSING")))</f>
        <v/>
      </c>
      <c r="M63" s="31">
        <f>IF($A63="","",COUNTIF(B63:L63,"MISSING"))</f>
        <v/>
      </c>
    </row>
    <row r="64">
      <c r="A64" s="18">
        <f>IF(Builders!$A61="","",Builders!$A61)</f>
        <v/>
      </c>
      <c r="B64" s="31">
        <f>IF($A64="","",IF(Builders!$B61="","MISSING","OK"))</f>
        <v/>
      </c>
      <c r="C64" s="31">
        <f>IF($A64="","",IF(Builders!$C61="","MISSING","OK"))</f>
        <v/>
      </c>
      <c r="D64" s="31">
        <f>IF($A64="","",IF(Builders!$D61="","MISSING","OK"))</f>
        <v/>
      </c>
      <c r="E64" s="31">
        <f>IF($A64="","",IF(Builders!$F61="","MISSING","OK"))</f>
        <v/>
      </c>
      <c r="F64" s="31">
        <f>IF($A64="","",IF(COUNTIFS(Contacts!$A$2:$A$501,$A64,Contacts!$B$2:$B$501,"*Owner*")+COUNTIFS(Contacts!$A$2:$A$501,$A64,Contacts!$F$2:$F$501,"*owner*")=0,"MISSING","OK"))</f>
        <v/>
      </c>
      <c r="G64" s="31">
        <f>IF($A64="","",IF(COUNTIFS(Contacts!$A$2:$A$501,$A64,Contacts!$B$2:$B$501,"*Listing*")+COUNTIFS(Contacts!$A$2:$A$501,$A64,Contacts!$F$2:$F$501,"*listing agent*")=0,"MISSING","OK"))</f>
        <v/>
      </c>
      <c r="H64" s="31">
        <f>IF($A64="","",IF(COUNTIFS(Contacts!$A$2:$A$501,$A64,Contacts!$B$2:$B$501,"*Builder Rep*")+COUNTIFS(Contacts!$A$2:$A$501,$A64,Contacts!$B$2:$B$501,"Sales*")=0,"MISSING","OK"))</f>
        <v/>
      </c>
      <c r="I64" s="31">
        <f>IF($A64="","",IF(COUNTIFS(Contacts!$A$2:$A$501,$A64,Contacts!$B$2:$B$501,"*Docs*")+COUNTIFS(Contacts!$A$2:$A$501,$A64,Contacts!$F$2:$F$501,"*builder doc*")=0,"MISSING","OK"))</f>
        <v/>
      </c>
      <c r="J64" s="31">
        <f>IF($A64="","",IF(COUNTIFS(Contacts!$A$2:$A$501,$A64,Contacts!$B$2:$B$501,"*Appraisal*")+COUNTIFS(Contacts!$A$2:$A$501,$A64,Contacts!$F$2:$F$501,"*apprais*")=0,"MISSING","OK"))</f>
        <v/>
      </c>
      <c r="K64" s="31">
        <f>IF($A64="","",IF(Builders!$B61="","MISSING",IF(COUNTIFS('Title Contacts'!$A$2:$A$601,Builders!$B61,'Title Contacts'!$B$2:$B$601,"*agent*",'Title Contacts'!$C$2:$C$601,"&lt;&gt;")&gt;0,"OK","MISSING")))</f>
        <v/>
      </c>
      <c r="L64" s="31">
        <f>IF($A64="","",IF(Builders!$B61="","MISSING",IF(COUNTIFS('Title Contacts'!$A$2:$A$601,Builders!$B61,'Title Contacts'!$B$2:$B$601,"*assistant*",'Title Contacts'!$C$2:$C$601,"&lt;&gt;")&gt;0,"OK","MISSING")))</f>
        <v/>
      </c>
      <c r="M64" s="31">
        <f>IF($A64="","",COUNTIF(B64:L64,"MISSING"))</f>
        <v/>
      </c>
    </row>
    <row r="65">
      <c r="A65" s="18">
        <f>IF(Builders!$A62="","",Builders!$A62)</f>
        <v/>
      </c>
      <c r="B65" s="31">
        <f>IF($A65="","",IF(Builders!$B62="","MISSING","OK"))</f>
        <v/>
      </c>
      <c r="C65" s="31">
        <f>IF($A65="","",IF(Builders!$C62="","MISSING","OK"))</f>
        <v/>
      </c>
      <c r="D65" s="31">
        <f>IF($A65="","",IF(Builders!$D62="","MISSING","OK"))</f>
        <v/>
      </c>
      <c r="E65" s="31">
        <f>IF($A65="","",IF(Builders!$F62="","MISSING","OK"))</f>
        <v/>
      </c>
      <c r="F65" s="31">
        <f>IF($A65="","",IF(COUNTIFS(Contacts!$A$2:$A$501,$A65,Contacts!$B$2:$B$501,"*Owner*")+COUNTIFS(Contacts!$A$2:$A$501,$A65,Contacts!$F$2:$F$501,"*owner*")=0,"MISSING","OK"))</f>
        <v/>
      </c>
      <c r="G65" s="31">
        <f>IF($A65="","",IF(COUNTIFS(Contacts!$A$2:$A$501,$A65,Contacts!$B$2:$B$501,"*Listing*")+COUNTIFS(Contacts!$A$2:$A$501,$A65,Contacts!$F$2:$F$501,"*listing agent*")=0,"MISSING","OK"))</f>
        <v/>
      </c>
      <c r="H65" s="31">
        <f>IF($A65="","",IF(COUNTIFS(Contacts!$A$2:$A$501,$A65,Contacts!$B$2:$B$501,"*Builder Rep*")+COUNTIFS(Contacts!$A$2:$A$501,$A65,Contacts!$B$2:$B$501,"Sales*")=0,"MISSING","OK"))</f>
        <v/>
      </c>
      <c r="I65" s="31">
        <f>IF($A65="","",IF(COUNTIFS(Contacts!$A$2:$A$501,$A65,Contacts!$B$2:$B$501,"*Docs*")+COUNTIFS(Contacts!$A$2:$A$501,$A65,Contacts!$F$2:$F$501,"*builder doc*")=0,"MISSING","OK"))</f>
        <v/>
      </c>
      <c r="J65" s="31">
        <f>IF($A65="","",IF(COUNTIFS(Contacts!$A$2:$A$501,$A65,Contacts!$B$2:$B$501,"*Appraisal*")+COUNTIFS(Contacts!$A$2:$A$501,$A65,Contacts!$F$2:$F$501,"*apprais*")=0,"MISSING","OK"))</f>
        <v/>
      </c>
      <c r="K65" s="31">
        <f>IF($A65="","",IF(Builders!$B62="","MISSING",IF(COUNTIFS('Title Contacts'!$A$2:$A$601,Builders!$B62,'Title Contacts'!$B$2:$B$601,"*agent*",'Title Contacts'!$C$2:$C$601,"&lt;&gt;")&gt;0,"OK","MISSING")))</f>
        <v/>
      </c>
      <c r="L65" s="31">
        <f>IF($A65="","",IF(Builders!$B62="","MISSING",IF(COUNTIFS('Title Contacts'!$A$2:$A$601,Builders!$B62,'Title Contacts'!$B$2:$B$601,"*assistant*",'Title Contacts'!$C$2:$C$601,"&lt;&gt;")&gt;0,"OK","MISSING")))</f>
        <v/>
      </c>
      <c r="M65" s="31">
        <f>IF($A65="","",COUNTIF(B65:L65,"MISSING"))</f>
        <v/>
      </c>
    </row>
    <row r="66">
      <c r="A66" s="18">
        <f>IF(Builders!$A63="","",Builders!$A63)</f>
        <v/>
      </c>
      <c r="B66" s="31">
        <f>IF($A66="","",IF(Builders!$B63="","MISSING","OK"))</f>
        <v/>
      </c>
      <c r="C66" s="31">
        <f>IF($A66="","",IF(Builders!$C63="","MISSING","OK"))</f>
        <v/>
      </c>
      <c r="D66" s="31">
        <f>IF($A66="","",IF(Builders!$D63="","MISSING","OK"))</f>
        <v/>
      </c>
      <c r="E66" s="31">
        <f>IF($A66="","",IF(Builders!$F63="","MISSING","OK"))</f>
        <v/>
      </c>
      <c r="F66" s="31">
        <f>IF($A66="","",IF(COUNTIFS(Contacts!$A$2:$A$501,$A66,Contacts!$B$2:$B$501,"*Owner*")+COUNTIFS(Contacts!$A$2:$A$501,$A66,Contacts!$F$2:$F$501,"*owner*")=0,"MISSING","OK"))</f>
        <v/>
      </c>
      <c r="G66" s="31">
        <f>IF($A66="","",IF(COUNTIFS(Contacts!$A$2:$A$501,$A66,Contacts!$B$2:$B$501,"*Listing*")+COUNTIFS(Contacts!$A$2:$A$501,$A66,Contacts!$F$2:$F$501,"*listing agent*")=0,"MISSING","OK"))</f>
        <v/>
      </c>
      <c r="H66" s="31">
        <f>IF($A66="","",IF(COUNTIFS(Contacts!$A$2:$A$501,$A66,Contacts!$B$2:$B$501,"*Builder Rep*")+COUNTIFS(Contacts!$A$2:$A$501,$A66,Contacts!$B$2:$B$501,"Sales*")=0,"MISSING","OK"))</f>
        <v/>
      </c>
      <c r="I66" s="31">
        <f>IF($A66="","",IF(COUNTIFS(Contacts!$A$2:$A$501,$A66,Contacts!$B$2:$B$501,"*Docs*")+COUNTIFS(Contacts!$A$2:$A$501,$A66,Contacts!$F$2:$F$501,"*builder doc*")=0,"MISSING","OK"))</f>
        <v/>
      </c>
      <c r="J66" s="31">
        <f>IF($A66="","",IF(COUNTIFS(Contacts!$A$2:$A$501,$A66,Contacts!$B$2:$B$501,"*Appraisal*")+COUNTIFS(Contacts!$A$2:$A$501,$A66,Contacts!$F$2:$F$501,"*apprais*")=0,"MISSING","OK"))</f>
        <v/>
      </c>
      <c r="K66" s="31">
        <f>IF($A66="","",IF(Builders!$B63="","MISSING",IF(COUNTIFS('Title Contacts'!$A$2:$A$601,Builders!$B63,'Title Contacts'!$B$2:$B$601,"*agent*",'Title Contacts'!$C$2:$C$601,"&lt;&gt;")&gt;0,"OK","MISSING")))</f>
        <v/>
      </c>
      <c r="L66" s="31">
        <f>IF($A66="","",IF(Builders!$B63="","MISSING",IF(COUNTIFS('Title Contacts'!$A$2:$A$601,Builders!$B63,'Title Contacts'!$B$2:$B$601,"*assistant*",'Title Contacts'!$C$2:$C$601,"&lt;&gt;")&gt;0,"OK","MISSING")))</f>
        <v/>
      </c>
      <c r="M66" s="31">
        <f>IF($A66="","",COUNTIF(B66:L66,"MISSING"))</f>
        <v/>
      </c>
    </row>
    <row r="67">
      <c r="A67" s="18">
        <f>IF(Builders!$A64="","",Builders!$A64)</f>
        <v/>
      </c>
      <c r="B67" s="31">
        <f>IF($A67="","",IF(Builders!$B64="","MISSING","OK"))</f>
        <v/>
      </c>
      <c r="C67" s="31">
        <f>IF($A67="","",IF(Builders!$C64="","MISSING","OK"))</f>
        <v/>
      </c>
      <c r="D67" s="31">
        <f>IF($A67="","",IF(Builders!$D64="","MISSING","OK"))</f>
        <v/>
      </c>
      <c r="E67" s="31">
        <f>IF($A67="","",IF(Builders!$F64="","MISSING","OK"))</f>
        <v/>
      </c>
      <c r="F67" s="31">
        <f>IF($A67="","",IF(COUNTIFS(Contacts!$A$2:$A$501,$A67,Contacts!$B$2:$B$501,"*Owner*")+COUNTIFS(Contacts!$A$2:$A$501,$A67,Contacts!$F$2:$F$501,"*owner*")=0,"MISSING","OK"))</f>
        <v/>
      </c>
      <c r="G67" s="31">
        <f>IF($A67="","",IF(COUNTIFS(Contacts!$A$2:$A$501,$A67,Contacts!$B$2:$B$501,"*Listing*")+COUNTIFS(Contacts!$A$2:$A$501,$A67,Contacts!$F$2:$F$501,"*listing agent*")=0,"MISSING","OK"))</f>
        <v/>
      </c>
      <c r="H67" s="31">
        <f>IF($A67="","",IF(COUNTIFS(Contacts!$A$2:$A$501,$A67,Contacts!$B$2:$B$501,"*Builder Rep*")+COUNTIFS(Contacts!$A$2:$A$501,$A67,Contacts!$B$2:$B$501,"Sales*")=0,"MISSING","OK"))</f>
        <v/>
      </c>
      <c r="I67" s="31">
        <f>IF($A67="","",IF(COUNTIFS(Contacts!$A$2:$A$501,$A67,Contacts!$B$2:$B$501,"*Docs*")+COUNTIFS(Contacts!$A$2:$A$501,$A67,Contacts!$F$2:$F$501,"*builder doc*")=0,"MISSING","OK"))</f>
        <v/>
      </c>
      <c r="J67" s="31">
        <f>IF($A67="","",IF(COUNTIFS(Contacts!$A$2:$A$501,$A67,Contacts!$B$2:$B$501,"*Appraisal*")+COUNTIFS(Contacts!$A$2:$A$501,$A67,Contacts!$F$2:$F$501,"*apprais*")=0,"MISSING","OK"))</f>
        <v/>
      </c>
      <c r="K67" s="31">
        <f>IF($A67="","",IF(Builders!$B64="","MISSING",IF(COUNTIFS('Title Contacts'!$A$2:$A$601,Builders!$B64,'Title Contacts'!$B$2:$B$601,"*agent*",'Title Contacts'!$C$2:$C$601,"&lt;&gt;")&gt;0,"OK","MISSING")))</f>
        <v/>
      </c>
      <c r="L67" s="31">
        <f>IF($A67="","",IF(Builders!$B64="","MISSING",IF(COUNTIFS('Title Contacts'!$A$2:$A$601,Builders!$B64,'Title Contacts'!$B$2:$B$601,"*assistant*",'Title Contacts'!$C$2:$C$601,"&lt;&gt;")&gt;0,"OK","MISSING")))</f>
        <v/>
      </c>
      <c r="M67" s="31">
        <f>IF($A67="","",COUNTIF(B67:L67,"MISSING"))</f>
        <v/>
      </c>
    </row>
    <row r="68">
      <c r="A68" s="18">
        <f>IF(Builders!$A65="","",Builders!$A65)</f>
        <v/>
      </c>
      <c r="B68" s="31">
        <f>IF($A68="","",IF(Builders!$B65="","MISSING","OK"))</f>
        <v/>
      </c>
      <c r="C68" s="31">
        <f>IF($A68="","",IF(Builders!$C65="","MISSING","OK"))</f>
        <v/>
      </c>
      <c r="D68" s="31">
        <f>IF($A68="","",IF(Builders!$D65="","MISSING","OK"))</f>
        <v/>
      </c>
      <c r="E68" s="31">
        <f>IF($A68="","",IF(Builders!$F65="","MISSING","OK"))</f>
        <v/>
      </c>
      <c r="F68" s="31">
        <f>IF($A68="","",IF(COUNTIFS(Contacts!$A$2:$A$501,$A68,Contacts!$B$2:$B$501,"*Owner*")+COUNTIFS(Contacts!$A$2:$A$501,$A68,Contacts!$F$2:$F$501,"*owner*")=0,"MISSING","OK"))</f>
        <v/>
      </c>
      <c r="G68" s="31">
        <f>IF($A68="","",IF(COUNTIFS(Contacts!$A$2:$A$501,$A68,Contacts!$B$2:$B$501,"*Listing*")+COUNTIFS(Contacts!$A$2:$A$501,$A68,Contacts!$F$2:$F$501,"*listing agent*")=0,"MISSING","OK"))</f>
        <v/>
      </c>
      <c r="H68" s="31">
        <f>IF($A68="","",IF(COUNTIFS(Contacts!$A$2:$A$501,$A68,Contacts!$B$2:$B$501,"*Builder Rep*")+COUNTIFS(Contacts!$A$2:$A$501,$A68,Contacts!$B$2:$B$501,"Sales*")=0,"MISSING","OK"))</f>
        <v/>
      </c>
      <c r="I68" s="31">
        <f>IF($A68="","",IF(COUNTIFS(Contacts!$A$2:$A$501,$A68,Contacts!$B$2:$B$501,"*Docs*")+COUNTIFS(Contacts!$A$2:$A$501,$A68,Contacts!$F$2:$F$501,"*builder doc*")=0,"MISSING","OK"))</f>
        <v/>
      </c>
      <c r="J68" s="31">
        <f>IF($A68="","",IF(COUNTIFS(Contacts!$A$2:$A$501,$A68,Contacts!$B$2:$B$501,"*Appraisal*")+COUNTIFS(Contacts!$A$2:$A$501,$A68,Contacts!$F$2:$F$501,"*apprais*")=0,"MISSING","OK"))</f>
        <v/>
      </c>
      <c r="K68" s="31">
        <f>IF($A68="","",IF(Builders!$B65="","MISSING",IF(COUNTIFS('Title Contacts'!$A$2:$A$601,Builders!$B65,'Title Contacts'!$B$2:$B$601,"*agent*",'Title Contacts'!$C$2:$C$601,"&lt;&gt;")&gt;0,"OK","MISSING")))</f>
        <v/>
      </c>
      <c r="L68" s="31">
        <f>IF($A68="","",IF(Builders!$B65="","MISSING",IF(COUNTIFS('Title Contacts'!$A$2:$A$601,Builders!$B65,'Title Contacts'!$B$2:$B$601,"*assistant*",'Title Contacts'!$C$2:$C$601,"&lt;&gt;")&gt;0,"OK","MISSING")))</f>
        <v/>
      </c>
      <c r="M68" s="31">
        <f>IF($A68="","",COUNTIF(B68:L68,"MISSING"))</f>
        <v/>
      </c>
    </row>
    <row r="69">
      <c r="A69" s="18">
        <f>IF(Builders!$A66="","",Builders!$A66)</f>
        <v/>
      </c>
      <c r="B69" s="31">
        <f>IF($A69="","",IF(Builders!$B66="","MISSING","OK"))</f>
        <v/>
      </c>
      <c r="C69" s="31">
        <f>IF($A69="","",IF(Builders!$C66="","MISSING","OK"))</f>
        <v/>
      </c>
      <c r="D69" s="31">
        <f>IF($A69="","",IF(Builders!$D66="","MISSING","OK"))</f>
        <v/>
      </c>
      <c r="E69" s="31">
        <f>IF($A69="","",IF(Builders!$F66="","MISSING","OK"))</f>
        <v/>
      </c>
      <c r="F69" s="31">
        <f>IF($A69="","",IF(COUNTIFS(Contacts!$A$2:$A$501,$A69,Contacts!$B$2:$B$501,"*Owner*")+COUNTIFS(Contacts!$A$2:$A$501,$A69,Contacts!$F$2:$F$501,"*owner*")=0,"MISSING","OK"))</f>
        <v/>
      </c>
      <c r="G69" s="31">
        <f>IF($A69="","",IF(COUNTIFS(Contacts!$A$2:$A$501,$A69,Contacts!$B$2:$B$501,"*Listing*")+COUNTIFS(Contacts!$A$2:$A$501,$A69,Contacts!$F$2:$F$501,"*listing agent*")=0,"MISSING","OK"))</f>
        <v/>
      </c>
      <c r="H69" s="31">
        <f>IF($A69="","",IF(COUNTIFS(Contacts!$A$2:$A$501,$A69,Contacts!$B$2:$B$501,"*Builder Rep*")+COUNTIFS(Contacts!$A$2:$A$501,$A69,Contacts!$B$2:$B$501,"Sales*")=0,"MISSING","OK"))</f>
        <v/>
      </c>
      <c r="I69" s="31">
        <f>IF($A69="","",IF(COUNTIFS(Contacts!$A$2:$A$501,$A69,Contacts!$B$2:$B$501,"*Docs*")+COUNTIFS(Contacts!$A$2:$A$501,$A69,Contacts!$F$2:$F$501,"*builder doc*")=0,"MISSING","OK"))</f>
        <v/>
      </c>
      <c r="J69" s="31">
        <f>IF($A69="","",IF(COUNTIFS(Contacts!$A$2:$A$501,$A69,Contacts!$B$2:$B$501,"*Appraisal*")+COUNTIFS(Contacts!$A$2:$A$501,$A69,Contacts!$F$2:$F$501,"*apprais*")=0,"MISSING","OK"))</f>
        <v/>
      </c>
      <c r="K69" s="31">
        <f>IF($A69="","",IF(Builders!$B66="","MISSING",IF(COUNTIFS('Title Contacts'!$A$2:$A$601,Builders!$B66,'Title Contacts'!$B$2:$B$601,"*agent*",'Title Contacts'!$C$2:$C$601,"&lt;&gt;")&gt;0,"OK","MISSING")))</f>
        <v/>
      </c>
      <c r="L69" s="31">
        <f>IF($A69="","",IF(Builders!$B66="","MISSING",IF(COUNTIFS('Title Contacts'!$A$2:$A$601,Builders!$B66,'Title Contacts'!$B$2:$B$601,"*assistant*",'Title Contacts'!$C$2:$C$601,"&lt;&gt;")&gt;0,"OK","MISSING")))</f>
        <v/>
      </c>
      <c r="M69" s="31">
        <f>IF($A69="","",COUNTIF(B69:L69,"MISSING"))</f>
        <v/>
      </c>
    </row>
    <row r="70">
      <c r="A70" s="18">
        <f>IF(Builders!$A67="","",Builders!$A67)</f>
        <v/>
      </c>
      <c r="B70" s="31">
        <f>IF($A70="","",IF(Builders!$B67="","MISSING","OK"))</f>
        <v/>
      </c>
      <c r="C70" s="31">
        <f>IF($A70="","",IF(Builders!$C67="","MISSING","OK"))</f>
        <v/>
      </c>
      <c r="D70" s="31">
        <f>IF($A70="","",IF(Builders!$D67="","MISSING","OK"))</f>
        <v/>
      </c>
      <c r="E70" s="31">
        <f>IF($A70="","",IF(Builders!$F67="","MISSING","OK"))</f>
        <v/>
      </c>
      <c r="F70" s="31">
        <f>IF($A70="","",IF(COUNTIFS(Contacts!$A$2:$A$501,$A70,Contacts!$B$2:$B$501,"*Owner*")+COUNTIFS(Contacts!$A$2:$A$501,$A70,Contacts!$F$2:$F$501,"*owner*")=0,"MISSING","OK"))</f>
        <v/>
      </c>
      <c r="G70" s="31">
        <f>IF($A70="","",IF(COUNTIFS(Contacts!$A$2:$A$501,$A70,Contacts!$B$2:$B$501,"*Listing*")+COUNTIFS(Contacts!$A$2:$A$501,$A70,Contacts!$F$2:$F$501,"*listing agent*")=0,"MISSING","OK"))</f>
        <v/>
      </c>
      <c r="H70" s="31">
        <f>IF($A70="","",IF(COUNTIFS(Contacts!$A$2:$A$501,$A70,Contacts!$B$2:$B$501,"*Builder Rep*")+COUNTIFS(Contacts!$A$2:$A$501,$A70,Contacts!$B$2:$B$501,"Sales*")=0,"MISSING","OK"))</f>
        <v/>
      </c>
      <c r="I70" s="31">
        <f>IF($A70="","",IF(COUNTIFS(Contacts!$A$2:$A$501,$A70,Contacts!$B$2:$B$501,"*Docs*")+COUNTIFS(Contacts!$A$2:$A$501,$A70,Contacts!$F$2:$F$501,"*builder doc*")=0,"MISSING","OK"))</f>
        <v/>
      </c>
      <c r="J70" s="31">
        <f>IF($A70="","",IF(COUNTIFS(Contacts!$A$2:$A$501,$A70,Contacts!$B$2:$B$501,"*Appraisal*")+COUNTIFS(Contacts!$A$2:$A$501,$A70,Contacts!$F$2:$F$501,"*apprais*")=0,"MISSING","OK"))</f>
        <v/>
      </c>
      <c r="K70" s="31">
        <f>IF($A70="","",IF(Builders!$B67="","MISSING",IF(COUNTIFS('Title Contacts'!$A$2:$A$601,Builders!$B67,'Title Contacts'!$B$2:$B$601,"*agent*",'Title Contacts'!$C$2:$C$601,"&lt;&gt;")&gt;0,"OK","MISSING")))</f>
        <v/>
      </c>
      <c r="L70" s="31">
        <f>IF($A70="","",IF(Builders!$B67="","MISSING",IF(COUNTIFS('Title Contacts'!$A$2:$A$601,Builders!$B67,'Title Contacts'!$B$2:$B$601,"*assistant*",'Title Contacts'!$C$2:$C$601,"&lt;&gt;")&gt;0,"OK","MISSING")))</f>
        <v/>
      </c>
      <c r="M70" s="31">
        <f>IF($A70="","",COUNTIF(B70:L70,"MISSING"))</f>
        <v/>
      </c>
    </row>
    <row r="71">
      <c r="A71" s="18">
        <f>IF(Builders!$A68="","",Builders!$A68)</f>
        <v/>
      </c>
      <c r="B71" s="31">
        <f>IF($A71="","",IF(Builders!$B68="","MISSING","OK"))</f>
        <v/>
      </c>
      <c r="C71" s="31">
        <f>IF($A71="","",IF(Builders!$C68="","MISSING","OK"))</f>
        <v/>
      </c>
      <c r="D71" s="31">
        <f>IF($A71="","",IF(Builders!$D68="","MISSING","OK"))</f>
        <v/>
      </c>
      <c r="E71" s="31">
        <f>IF($A71="","",IF(Builders!$F68="","MISSING","OK"))</f>
        <v/>
      </c>
      <c r="F71" s="31">
        <f>IF($A71="","",IF(COUNTIFS(Contacts!$A$2:$A$501,$A71,Contacts!$B$2:$B$501,"*Owner*")+COUNTIFS(Contacts!$A$2:$A$501,$A71,Contacts!$F$2:$F$501,"*owner*")=0,"MISSING","OK"))</f>
        <v/>
      </c>
      <c r="G71" s="31">
        <f>IF($A71="","",IF(COUNTIFS(Contacts!$A$2:$A$501,$A71,Contacts!$B$2:$B$501,"*Listing*")+COUNTIFS(Contacts!$A$2:$A$501,$A71,Contacts!$F$2:$F$501,"*listing agent*")=0,"MISSING","OK"))</f>
        <v/>
      </c>
      <c r="H71" s="31">
        <f>IF($A71="","",IF(COUNTIFS(Contacts!$A$2:$A$501,$A71,Contacts!$B$2:$B$501,"*Builder Rep*")+COUNTIFS(Contacts!$A$2:$A$501,$A71,Contacts!$B$2:$B$501,"Sales*")=0,"MISSING","OK"))</f>
        <v/>
      </c>
      <c r="I71" s="31">
        <f>IF($A71="","",IF(COUNTIFS(Contacts!$A$2:$A$501,$A71,Contacts!$B$2:$B$501,"*Docs*")+COUNTIFS(Contacts!$A$2:$A$501,$A71,Contacts!$F$2:$F$501,"*builder doc*")=0,"MISSING","OK"))</f>
        <v/>
      </c>
      <c r="J71" s="31">
        <f>IF($A71="","",IF(COUNTIFS(Contacts!$A$2:$A$501,$A71,Contacts!$B$2:$B$501,"*Appraisal*")+COUNTIFS(Contacts!$A$2:$A$501,$A71,Contacts!$F$2:$F$501,"*apprais*")=0,"MISSING","OK"))</f>
        <v/>
      </c>
      <c r="K71" s="31">
        <f>IF($A71="","",IF(Builders!$B68="","MISSING",IF(COUNTIFS('Title Contacts'!$A$2:$A$601,Builders!$B68,'Title Contacts'!$B$2:$B$601,"*agent*",'Title Contacts'!$C$2:$C$601,"&lt;&gt;")&gt;0,"OK","MISSING")))</f>
        <v/>
      </c>
      <c r="L71" s="31">
        <f>IF($A71="","",IF(Builders!$B68="","MISSING",IF(COUNTIFS('Title Contacts'!$A$2:$A$601,Builders!$B68,'Title Contacts'!$B$2:$B$601,"*assistant*",'Title Contacts'!$C$2:$C$601,"&lt;&gt;")&gt;0,"OK","MISSING")))</f>
        <v/>
      </c>
      <c r="M71" s="31">
        <f>IF($A71="","",COUNTIF(B71:L71,"MISSING"))</f>
        <v/>
      </c>
    </row>
    <row r="72">
      <c r="A72" s="18">
        <f>IF(Builders!$A69="","",Builders!$A69)</f>
        <v/>
      </c>
      <c r="B72" s="31">
        <f>IF($A72="","",IF(Builders!$B69="","MISSING","OK"))</f>
        <v/>
      </c>
      <c r="C72" s="31">
        <f>IF($A72="","",IF(Builders!$C69="","MISSING","OK"))</f>
        <v/>
      </c>
      <c r="D72" s="31">
        <f>IF($A72="","",IF(Builders!$D69="","MISSING","OK"))</f>
        <v/>
      </c>
      <c r="E72" s="31">
        <f>IF($A72="","",IF(Builders!$F69="","MISSING","OK"))</f>
        <v/>
      </c>
      <c r="F72" s="31">
        <f>IF($A72="","",IF(COUNTIFS(Contacts!$A$2:$A$501,$A72,Contacts!$B$2:$B$501,"*Owner*")+COUNTIFS(Contacts!$A$2:$A$501,$A72,Contacts!$F$2:$F$501,"*owner*")=0,"MISSING","OK"))</f>
        <v/>
      </c>
      <c r="G72" s="31">
        <f>IF($A72="","",IF(COUNTIFS(Contacts!$A$2:$A$501,$A72,Contacts!$B$2:$B$501,"*Listing*")+COUNTIFS(Contacts!$A$2:$A$501,$A72,Contacts!$F$2:$F$501,"*listing agent*")=0,"MISSING","OK"))</f>
        <v/>
      </c>
      <c r="H72" s="31">
        <f>IF($A72="","",IF(COUNTIFS(Contacts!$A$2:$A$501,$A72,Contacts!$B$2:$B$501,"*Builder Rep*")+COUNTIFS(Contacts!$A$2:$A$501,$A72,Contacts!$B$2:$B$501,"Sales*")=0,"MISSING","OK"))</f>
        <v/>
      </c>
      <c r="I72" s="31">
        <f>IF($A72="","",IF(COUNTIFS(Contacts!$A$2:$A$501,$A72,Contacts!$B$2:$B$501,"*Docs*")+COUNTIFS(Contacts!$A$2:$A$501,$A72,Contacts!$F$2:$F$501,"*builder doc*")=0,"MISSING","OK"))</f>
        <v/>
      </c>
      <c r="J72" s="31">
        <f>IF($A72="","",IF(COUNTIFS(Contacts!$A$2:$A$501,$A72,Contacts!$B$2:$B$501,"*Appraisal*")+COUNTIFS(Contacts!$A$2:$A$501,$A72,Contacts!$F$2:$F$501,"*apprais*")=0,"MISSING","OK"))</f>
        <v/>
      </c>
      <c r="K72" s="31">
        <f>IF($A72="","",IF(Builders!$B69="","MISSING",IF(COUNTIFS('Title Contacts'!$A$2:$A$601,Builders!$B69,'Title Contacts'!$B$2:$B$601,"*agent*",'Title Contacts'!$C$2:$C$601,"&lt;&gt;")&gt;0,"OK","MISSING")))</f>
        <v/>
      </c>
      <c r="L72" s="31">
        <f>IF($A72="","",IF(Builders!$B69="","MISSING",IF(COUNTIFS('Title Contacts'!$A$2:$A$601,Builders!$B69,'Title Contacts'!$B$2:$B$601,"*assistant*",'Title Contacts'!$C$2:$C$601,"&lt;&gt;")&gt;0,"OK","MISSING")))</f>
        <v/>
      </c>
      <c r="M72" s="31">
        <f>IF($A72="","",COUNTIF(B72:L72,"MISSING"))</f>
        <v/>
      </c>
    </row>
    <row r="73">
      <c r="A73" s="18">
        <f>IF(Builders!$A70="","",Builders!$A70)</f>
        <v/>
      </c>
      <c r="B73" s="31">
        <f>IF($A73="","",IF(Builders!$B70="","MISSING","OK"))</f>
        <v/>
      </c>
      <c r="C73" s="31">
        <f>IF($A73="","",IF(Builders!$C70="","MISSING","OK"))</f>
        <v/>
      </c>
      <c r="D73" s="31">
        <f>IF($A73="","",IF(Builders!$D70="","MISSING","OK"))</f>
        <v/>
      </c>
      <c r="E73" s="31">
        <f>IF($A73="","",IF(Builders!$F70="","MISSING","OK"))</f>
        <v/>
      </c>
      <c r="F73" s="31">
        <f>IF($A73="","",IF(COUNTIFS(Contacts!$A$2:$A$501,$A73,Contacts!$B$2:$B$501,"*Owner*")+COUNTIFS(Contacts!$A$2:$A$501,$A73,Contacts!$F$2:$F$501,"*owner*")=0,"MISSING","OK"))</f>
        <v/>
      </c>
      <c r="G73" s="31">
        <f>IF($A73="","",IF(COUNTIFS(Contacts!$A$2:$A$501,$A73,Contacts!$B$2:$B$501,"*Listing*")+COUNTIFS(Contacts!$A$2:$A$501,$A73,Contacts!$F$2:$F$501,"*listing agent*")=0,"MISSING","OK"))</f>
        <v/>
      </c>
      <c r="H73" s="31">
        <f>IF($A73="","",IF(COUNTIFS(Contacts!$A$2:$A$501,$A73,Contacts!$B$2:$B$501,"*Builder Rep*")+COUNTIFS(Contacts!$A$2:$A$501,$A73,Contacts!$B$2:$B$501,"Sales*")=0,"MISSING","OK"))</f>
        <v/>
      </c>
      <c r="I73" s="31">
        <f>IF($A73="","",IF(COUNTIFS(Contacts!$A$2:$A$501,$A73,Contacts!$B$2:$B$501,"*Docs*")+COUNTIFS(Contacts!$A$2:$A$501,$A73,Contacts!$F$2:$F$501,"*builder doc*")=0,"MISSING","OK"))</f>
        <v/>
      </c>
      <c r="J73" s="31">
        <f>IF($A73="","",IF(COUNTIFS(Contacts!$A$2:$A$501,$A73,Contacts!$B$2:$B$501,"*Appraisal*")+COUNTIFS(Contacts!$A$2:$A$501,$A73,Contacts!$F$2:$F$501,"*apprais*")=0,"MISSING","OK"))</f>
        <v/>
      </c>
      <c r="K73" s="31">
        <f>IF($A73="","",IF(Builders!$B70="","MISSING",IF(COUNTIFS('Title Contacts'!$A$2:$A$601,Builders!$B70,'Title Contacts'!$B$2:$B$601,"*agent*",'Title Contacts'!$C$2:$C$601,"&lt;&gt;")&gt;0,"OK","MISSING")))</f>
        <v/>
      </c>
      <c r="L73" s="31">
        <f>IF($A73="","",IF(Builders!$B70="","MISSING",IF(COUNTIFS('Title Contacts'!$A$2:$A$601,Builders!$B70,'Title Contacts'!$B$2:$B$601,"*assistant*",'Title Contacts'!$C$2:$C$601,"&lt;&gt;")&gt;0,"OK","MISSING")))</f>
        <v/>
      </c>
      <c r="M73" s="31">
        <f>IF($A73="","",COUNTIF(B73:L73,"MISSING"))</f>
        <v/>
      </c>
    </row>
    <row r="74">
      <c r="A74" s="18">
        <f>IF(Builders!$A71="","",Builders!$A71)</f>
        <v/>
      </c>
      <c r="B74" s="31">
        <f>IF($A74="","",IF(Builders!$B71="","MISSING","OK"))</f>
        <v/>
      </c>
      <c r="C74" s="31">
        <f>IF($A74="","",IF(Builders!$C71="","MISSING","OK"))</f>
        <v/>
      </c>
      <c r="D74" s="31">
        <f>IF($A74="","",IF(Builders!$D71="","MISSING","OK"))</f>
        <v/>
      </c>
      <c r="E74" s="31">
        <f>IF($A74="","",IF(Builders!$F71="","MISSING","OK"))</f>
        <v/>
      </c>
      <c r="F74" s="31">
        <f>IF($A74="","",IF(COUNTIFS(Contacts!$A$2:$A$501,$A74,Contacts!$B$2:$B$501,"*Owner*")+COUNTIFS(Contacts!$A$2:$A$501,$A74,Contacts!$F$2:$F$501,"*owner*")=0,"MISSING","OK"))</f>
        <v/>
      </c>
      <c r="G74" s="31">
        <f>IF($A74="","",IF(COUNTIFS(Contacts!$A$2:$A$501,$A74,Contacts!$B$2:$B$501,"*Listing*")+COUNTIFS(Contacts!$A$2:$A$501,$A74,Contacts!$F$2:$F$501,"*listing agent*")=0,"MISSING","OK"))</f>
        <v/>
      </c>
      <c r="H74" s="31">
        <f>IF($A74="","",IF(COUNTIFS(Contacts!$A$2:$A$501,$A74,Contacts!$B$2:$B$501,"*Builder Rep*")+COUNTIFS(Contacts!$A$2:$A$501,$A74,Contacts!$B$2:$B$501,"Sales*")=0,"MISSING","OK"))</f>
        <v/>
      </c>
      <c r="I74" s="31">
        <f>IF($A74="","",IF(COUNTIFS(Contacts!$A$2:$A$501,$A74,Contacts!$B$2:$B$501,"*Docs*")+COUNTIFS(Contacts!$A$2:$A$501,$A74,Contacts!$F$2:$F$501,"*builder doc*")=0,"MISSING","OK"))</f>
        <v/>
      </c>
      <c r="J74" s="31">
        <f>IF($A74="","",IF(COUNTIFS(Contacts!$A$2:$A$501,$A74,Contacts!$B$2:$B$501,"*Appraisal*")+COUNTIFS(Contacts!$A$2:$A$501,$A74,Contacts!$F$2:$F$501,"*apprais*")=0,"MISSING","OK"))</f>
        <v/>
      </c>
      <c r="K74" s="31">
        <f>IF($A74="","",IF(Builders!$B71="","MISSING",IF(COUNTIFS('Title Contacts'!$A$2:$A$601,Builders!$B71,'Title Contacts'!$B$2:$B$601,"*agent*",'Title Contacts'!$C$2:$C$601,"&lt;&gt;")&gt;0,"OK","MISSING")))</f>
        <v/>
      </c>
      <c r="L74" s="31">
        <f>IF($A74="","",IF(Builders!$B71="","MISSING",IF(COUNTIFS('Title Contacts'!$A$2:$A$601,Builders!$B71,'Title Contacts'!$B$2:$B$601,"*assistant*",'Title Contacts'!$C$2:$C$601,"&lt;&gt;")&gt;0,"OK","MISSING")))</f>
        <v/>
      </c>
      <c r="M74" s="31">
        <f>IF($A74="","",COUNTIF(B74:L74,"MISSING"))</f>
        <v/>
      </c>
    </row>
    <row r="75">
      <c r="A75" s="18">
        <f>IF(Builders!$A72="","",Builders!$A72)</f>
        <v/>
      </c>
      <c r="B75" s="31">
        <f>IF($A75="","",IF(Builders!$B72="","MISSING","OK"))</f>
        <v/>
      </c>
      <c r="C75" s="31">
        <f>IF($A75="","",IF(Builders!$C72="","MISSING","OK"))</f>
        <v/>
      </c>
      <c r="D75" s="31">
        <f>IF($A75="","",IF(Builders!$D72="","MISSING","OK"))</f>
        <v/>
      </c>
      <c r="E75" s="31">
        <f>IF($A75="","",IF(Builders!$F72="","MISSING","OK"))</f>
        <v/>
      </c>
      <c r="F75" s="31">
        <f>IF($A75="","",IF(COUNTIFS(Contacts!$A$2:$A$501,$A75,Contacts!$B$2:$B$501,"*Owner*")+COUNTIFS(Contacts!$A$2:$A$501,$A75,Contacts!$F$2:$F$501,"*owner*")=0,"MISSING","OK"))</f>
        <v/>
      </c>
      <c r="G75" s="31">
        <f>IF($A75="","",IF(COUNTIFS(Contacts!$A$2:$A$501,$A75,Contacts!$B$2:$B$501,"*Listing*")+COUNTIFS(Contacts!$A$2:$A$501,$A75,Contacts!$F$2:$F$501,"*listing agent*")=0,"MISSING","OK"))</f>
        <v/>
      </c>
      <c r="H75" s="31">
        <f>IF($A75="","",IF(COUNTIFS(Contacts!$A$2:$A$501,$A75,Contacts!$B$2:$B$501,"*Builder Rep*")+COUNTIFS(Contacts!$A$2:$A$501,$A75,Contacts!$B$2:$B$501,"Sales*")=0,"MISSING","OK"))</f>
        <v/>
      </c>
      <c r="I75" s="31">
        <f>IF($A75="","",IF(COUNTIFS(Contacts!$A$2:$A$501,$A75,Contacts!$B$2:$B$501,"*Docs*")+COUNTIFS(Contacts!$A$2:$A$501,$A75,Contacts!$F$2:$F$501,"*builder doc*")=0,"MISSING","OK"))</f>
        <v/>
      </c>
      <c r="J75" s="31">
        <f>IF($A75="","",IF(COUNTIFS(Contacts!$A$2:$A$501,$A75,Contacts!$B$2:$B$501,"*Appraisal*")+COUNTIFS(Contacts!$A$2:$A$501,$A75,Contacts!$F$2:$F$501,"*apprais*")=0,"MISSING","OK"))</f>
        <v/>
      </c>
      <c r="K75" s="31">
        <f>IF($A75="","",IF(Builders!$B72="","MISSING",IF(COUNTIFS('Title Contacts'!$A$2:$A$601,Builders!$B72,'Title Contacts'!$B$2:$B$601,"*agent*",'Title Contacts'!$C$2:$C$601,"&lt;&gt;")&gt;0,"OK","MISSING")))</f>
        <v/>
      </c>
      <c r="L75" s="31">
        <f>IF($A75="","",IF(Builders!$B72="","MISSING",IF(COUNTIFS('Title Contacts'!$A$2:$A$601,Builders!$B72,'Title Contacts'!$B$2:$B$601,"*assistant*",'Title Contacts'!$C$2:$C$601,"&lt;&gt;")&gt;0,"OK","MISSING")))</f>
        <v/>
      </c>
      <c r="M75" s="31">
        <f>IF($A75="","",COUNTIF(B75:L75,"MISSING"))</f>
        <v/>
      </c>
    </row>
    <row r="76">
      <c r="A76" s="18">
        <f>IF(Builders!$A73="","",Builders!$A73)</f>
        <v/>
      </c>
      <c r="B76" s="31">
        <f>IF($A76="","",IF(Builders!$B73="","MISSING","OK"))</f>
        <v/>
      </c>
      <c r="C76" s="31">
        <f>IF($A76="","",IF(Builders!$C73="","MISSING","OK"))</f>
        <v/>
      </c>
      <c r="D76" s="31">
        <f>IF($A76="","",IF(Builders!$D73="","MISSING","OK"))</f>
        <v/>
      </c>
      <c r="E76" s="31">
        <f>IF($A76="","",IF(Builders!$F73="","MISSING","OK"))</f>
        <v/>
      </c>
      <c r="F76" s="31">
        <f>IF($A76="","",IF(COUNTIFS(Contacts!$A$2:$A$501,$A76,Contacts!$B$2:$B$501,"*Owner*")+COUNTIFS(Contacts!$A$2:$A$501,$A76,Contacts!$F$2:$F$501,"*owner*")=0,"MISSING","OK"))</f>
        <v/>
      </c>
      <c r="G76" s="31">
        <f>IF($A76="","",IF(COUNTIFS(Contacts!$A$2:$A$501,$A76,Contacts!$B$2:$B$501,"*Listing*")+COUNTIFS(Contacts!$A$2:$A$501,$A76,Contacts!$F$2:$F$501,"*listing agent*")=0,"MISSING","OK"))</f>
        <v/>
      </c>
      <c r="H76" s="31">
        <f>IF($A76="","",IF(COUNTIFS(Contacts!$A$2:$A$501,$A76,Contacts!$B$2:$B$501,"*Builder Rep*")+COUNTIFS(Contacts!$A$2:$A$501,$A76,Contacts!$B$2:$B$501,"Sales*")=0,"MISSING","OK"))</f>
        <v/>
      </c>
      <c r="I76" s="31">
        <f>IF($A76="","",IF(COUNTIFS(Contacts!$A$2:$A$501,$A76,Contacts!$B$2:$B$501,"*Docs*")+COUNTIFS(Contacts!$A$2:$A$501,$A76,Contacts!$F$2:$F$501,"*builder doc*")=0,"MISSING","OK"))</f>
        <v/>
      </c>
      <c r="J76" s="31">
        <f>IF($A76="","",IF(COUNTIFS(Contacts!$A$2:$A$501,$A76,Contacts!$B$2:$B$501,"*Appraisal*")+COUNTIFS(Contacts!$A$2:$A$501,$A76,Contacts!$F$2:$F$501,"*apprais*")=0,"MISSING","OK"))</f>
        <v/>
      </c>
      <c r="K76" s="31">
        <f>IF($A76="","",IF(Builders!$B73="","MISSING",IF(COUNTIFS('Title Contacts'!$A$2:$A$601,Builders!$B73,'Title Contacts'!$B$2:$B$601,"*agent*",'Title Contacts'!$C$2:$C$601,"&lt;&gt;")&gt;0,"OK","MISSING")))</f>
        <v/>
      </c>
      <c r="L76" s="31">
        <f>IF($A76="","",IF(Builders!$B73="","MISSING",IF(COUNTIFS('Title Contacts'!$A$2:$A$601,Builders!$B73,'Title Contacts'!$B$2:$B$601,"*assistant*",'Title Contacts'!$C$2:$C$601,"&lt;&gt;")&gt;0,"OK","MISSING")))</f>
        <v/>
      </c>
      <c r="M76" s="31">
        <f>IF($A76="","",COUNTIF(B76:L76,"MISSING"))</f>
        <v/>
      </c>
    </row>
    <row r="77">
      <c r="A77" s="18">
        <f>IF(Builders!$A74="","",Builders!$A74)</f>
        <v/>
      </c>
      <c r="B77" s="31">
        <f>IF($A77="","",IF(Builders!$B74="","MISSING","OK"))</f>
        <v/>
      </c>
      <c r="C77" s="31">
        <f>IF($A77="","",IF(Builders!$C74="","MISSING","OK"))</f>
        <v/>
      </c>
      <c r="D77" s="31">
        <f>IF($A77="","",IF(Builders!$D74="","MISSING","OK"))</f>
        <v/>
      </c>
      <c r="E77" s="31">
        <f>IF($A77="","",IF(Builders!$F74="","MISSING","OK"))</f>
        <v/>
      </c>
      <c r="F77" s="31">
        <f>IF($A77="","",IF(COUNTIFS(Contacts!$A$2:$A$501,$A77,Contacts!$B$2:$B$501,"*Owner*")+COUNTIFS(Contacts!$A$2:$A$501,$A77,Contacts!$F$2:$F$501,"*owner*")=0,"MISSING","OK"))</f>
        <v/>
      </c>
      <c r="G77" s="31">
        <f>IF($A77="","",IF(COUNTIFS(Contacts!$A$2:$A$501,$A77,Contacts!$B$2:$B$501,"*Listing*")+COUNTIFS(Contacts!$A$2:$A$501,$A77,Contacts!$F$2:$F$501,"*listing agent*")=0,"MISSING","OK"))</f>
        <v/>
      </c>
      <c r="H77" s="31">
        <f>IF($A77="","",IF(COUNTIFS(Contacts!$A$2:$A$501,$A77,Contacts!$B$2:$B$501,"*Builder Rep*")+COUNTIFS(Contacts!$A$2:$A$501,$A77,Contacts!$B$2:$B$501,"Sales*")=0,"MISSING","OK"))</f>
        <v/>
      </c>
      <c r="I77" s="31">
        <f>IF($A77="","",IF(COUNTIFS(Contacts!$A$2:$A$501,$A77,Contacts!$B$2:$B$501,"*Docs*")+COUNTIFS(Contacts!$A$2:$A$501,$A77,Contacts!$F$2:$F$501,"*builder doc*")=0,"MISSING","OK"))</f>
        <v/>
      </c>
      <c r="J77" s="31">
        <f>IF($A77="","",IF(COUNTIFS(Contacts!$A$2:$A$501,$A77,Contacts!$B$2:$B$501,"*Appraisal*")+COUNTIFS(Contacts!$A$2:$A$501,$A77,Contacts!$F$2:$F$501,"*apprais*")=0,"MISSING","OK"))</f>
        <v/>
      </c>
      <c r="K77" s="31">
        <f>IF($A77="","",IF(Builders!$B74="","MISSING",IF(COUNTIFS('Title Contacts'!$A$2:$A$601,Builders!$B74,'Title Contacts'!$B$2:$B$601,"*agent*",'Title Contacts'!$C$2:$C$601,"&lt;&gt;")&gt;0,"OK","MISSING")))</f>
        <v/>
      </c>
      <c r="L77" s="31">
        <f>IF($A77="","",IF(Builders!$B74="","MISSING",IF(COUNTIFS('Title Contacts'!$A$2:$A$601,Builders!$B74,'Title Contacts'!$B$2:$B$601,"*assistant*",'Title Contacts'!$C$2:$C$601,"&lt;&gt;")&gt;0,"OK","MISSING")))</f>
        <v/>
      </c>
      <c r="M77" s="31">
        <f>IF($A77="","",COUNTIF(B77:L77,"MISSING"))</f>
        <v/>
      </c>
    </row>
    <row r="78">
      <c r="A78" s="18">
        <f>IF(Builders!$A75="","",Builders!$A75)</f>
        <v/>
      </c>
      <c r="B78" s="31">
        <f>IF($A78="","",IF(Builders!$B75="","MISSING","OK"))</f>
        <v/>
      </c>
      <c r="C78" s="31">
        <f>IF($A78="","",IF(Builders!$C75="","MISSING","OK"))</f>
        <v/>
      </c>
      <c r="D78" s="31">
        <f>IF($A78="","",IF(Builders!$D75="","MISSING","OK"))</f>
        <v/>
      </c>
      <c r="E78" s="31">
        <f>IF($A78="","",IF(Builders!$F75="","MISSING","OK"))</f>
        <v/>
      </c>
      <c r="F78" s="31">
        <f>IF($A78="","",IF(COUNTIFS(Contacts!$A$2:$A$501,$A78,Contacts!$B$2:$B$501,"*Owner*")+COUNTIFS(Contacts!$A$2:$A$501,$A78,Contacts!$F$2:$F$501,"*owner*")=0,"MISSING","OK"))</f>
        <v/>
      </c>
      <c r="G78" s="31">
        <f>IF($A78="","",IF(COUNTIFS(Contacts!$A$2:$A$501,$A78,Contacts!$B$2:$B$501,"*Listing*")+COUNTIFS(Contacts!$A$2:$A$501,$A78,Contacts!$F$2:$F$501,"*listing agent*")=0,"MISSING","OK"))</f>
        <v/>
      </c>
      <c r="H78" s="31">
        <f>IF($A78="","",IF(COUNTIFS(Contacts!$A$2:$A$501,$A78,Contacts!$B$2:$B$501,"*Builder Rep*")+COUNTIFS(Contacts!$A$2:$A$501,$A78,Contacts!$B$2:$B$501,"Sales*")=0,"MISSING","OK"))</f>
        <v/>
      </c>
      <c r="I78" s="31">
        <f>IF($A78="","",IF(COUNTIFS(Contacts!$A$2:$A$501,$A78,Contacts!$B$2:$B$501,"*Docs*")+COUNTIFS(Contacts!$A$2:$A$501,$A78,Contacts!$F$2:$F$501,"*builder doc*")=0,"MISSING","OK"))</f>
        <v/>
      </c>
      <c r="J78" s="31">
        <f>IF($A78="","",IF(COUNTIFS(Contacts!$A$2:$A$501,$A78,Contacts!$B$2:$B$501,"*Appraisal*")+COUNTIFS(Contacts!$A$2:$A$501,$A78,Contacts!$F$2:$F$501,"*apprais*")=0,"MISSING","OK"))</f>
        <v/>
      </c>
      <c r="K78" s="31">
        <f>IF($A78="","",IF(Builders!$B75="","MISSING",IF(COUNTIFS('Title Contacts'!$A$2:$A$601,Builders!$B75,'Title Contacts'!$B$2:$B$601,"*agent*",'Title Contacts'!$C$2:$C$601,"&lt;&gt;")&gt;0,"OK","MISSING")))</f>
        <v/>
      </c>
      <c r="L78" s="31">
        <f>IF($A78="","",IF(Builders!$B75="","MISSING",IF(COUNTIFS('Title Contacts'!$A$2:$A$601,Builders!$B75,'Title Contacts'!$B$2:$B$601,"*assistant*",'Title Contacts'!$C$2:$C$601,"&lt;&gt;")&gt;0,"OK","MISSING")))</f>
        <v/>
      </c>
      <c r="M78" s="31">
        <f>IF($A78="","",COUNTIF(B78:L78,"MISSING"))</f>
        <v/>
      </c>
    </row>
    <row r="79">
      <c r="A79" s="18">
        <f>IF(Builders!$A76="","",Builders!$A76)</f>
        <v/>
      </c>
      <c r="B79" s="31">
        <f>IF($A79="","",IF(Builders!$B76="","MISSING","OK"))</f>
        <v/>
      </c>
      <c r="C79" s="31">
        <f>IF($A79="","",IF(Builders!$C76="","MISSING","OK"))</f>
        <v/>
      </c>
      <c r="D79" s="31">
        <f>IF($A79="","",IF(Builders!$D76="","MISSING","OK"))</f>
        <v/>
      </c>
      <c r="E79" s="31">
        <f>IF($A79="","",IF(Builders!$F76="","MISSING","OK"))</f>
        <v/>
      </c>
      <c r="F79" s="31">
        <f>IF($A79="","",IF(COUNTIFS(Contacts!$A$2:$A$501,$A79,Contacts!$B$2:$B$501,"*Owner*")+COUNTIFS(Contacts!$A$2:$A$501,$A79,Contacts!$F$2:$F$501,"*owner*")=0,"MISSING","OK"))</f>
        <v/>
      </c>
      <c r="G79" s="31">
        <f>IF($A79="","",IF(COUNTIFS(Contacts!$A$2:$A$501,$A79,Contacts!$B$2:$B$501,"*Listing*")+COUNTIFS(Contacts!$A$2:$A$501,$A79,Contacts!$F$2:$F$501,"*listing agent*")=0,"MISSING","OK"))</f>
        <v/>
      </c>
      <c r="H79" s="31">
        <f>IF($A79="","",IF(COUNTIFS(Contacts!$A$2:$A$501,$A79,Contacts!$B$2:$B$501,"*Builder Rep*")+COUNTIFS(Contacts!$A$2:$A$501,$A79,Contacts!$B$2:$B$501,"Sales*")=0,"MISSING","OK"))</f>
        <v/>
      </c>
      <c r="I79" s="31">
        <f>IF($A79="","",IF(COUNTIFS(Contacts!$A$2:$A$501,$A79,Contacts!$B$2:$B$501,"*Docs*")+COUNTIFS(Contacts!$A$2:$A$501,$A79,Contacts!$F$2:$F$501,"*builder doc*")=0,"MISSING","OK"))</f>
        <v/>
      </c>
      <c r="J79" s="31">
        <f>IF($A79="","",IF(COUNTIFS(Contacts!$A$2:$A$501,$A79,Contacts!$B$2:$B$501,"*Appraisal*")+COUNTIFS(Contacts!$A$2:$A$501,$A79,Contacts!$F$2:$F$501,"*apprais*")=0,"MISSING","OK"))</f>
        <v/>
      </c>
      <c r="K79" s="31">
        <f>IF($A79="","",IF(Builders!$B76="","MISSING",IF(COUNTIFS('Title Contacts'!$A$2:$A$601,Builders!$B76,'Title Contacts'!$B$2:$B$601,"*agent*",'Title Contacts'!$C$2:$C$601,"&lt;&gt;")&gt;0,"OK","MISSING")))</f>
        <v/>
      </c>
      <c r="L79" s="31">
        <f>IF($A79="","",IF(Builders!$B76="","MISSING",IF(COUNTIFS('Title Contacts'!$A$2:$A$601,Builders!$B76,'Title Contacts'!$B$2:$B$601,"*assistant*",'Title Contacts'!$C$2:$C$601,"&lt;&gt;")&gt;0,"OK","MISSING")))</f>
        <v/>
      </c>
      <c r="M79" s="31">
        <f>IF($A79="","",COUNTIF(B79:L79,"MISSING"))</f>
        <v/>
      </c>
    </row>
    <row r="80">
      <c r="A80" s="18">
        <f>IF(Builders!$A77="","",Builders!$A77)</f>
        <v/>
      </c>
      <c r="B80" s="31">
        <f>IF($A80="","",IF(Builders!$B77="","MISSING","OK"))</f>
        <v/>
      </c>
      <c r="C80" s="31">
        <f>IF($A80="","",IF(Builders!$C77="","MISSING","OK"))</f>
        <v/>
      </c>
      <c r="D80" s="31">
        <f>IF($A80="","",IF(Builders!$D77="","MISSING","OK"))</f>
        <v/>
      </c>
      <c r="E80" s="31">
        <f>IF($A80="","",IF(Builders!$F77="","MISSING","OK"))</f>
        <v/>
      </c>
      <c r="F80" s="31">
        <f>IF($A80="","",IF(COUNTIFS(Contacts!$A$2:$A$501,$A80,Contacts!$B$2:$B$501,"*Owner*")+COUNTIFS(Contacts!$A$2:$A$501,$A80,Contacts!$F$2:$F$501,"*owner*")=0,"MISSING","OK"))</f>
        <v/>
      </c>
      <c r="G80" s="31">
        <f>IF($A80="","",IF(COUNTIFS(Contacts!$A$2:$A$501,$A80,Contacts!$B$2:$B$501,"*Listing*")+COUNTIFS(Contacts!$A$2:$A$501,$A80,Contacts!$F$2:$F$501,"*listing agent*")=0,"MISSING","OK"))</f>
        <v/>
      </c>
      <c r="H80" s="31">
        <f>IF($A80="","",IF(COUNTIFS(Contacts!$A$2:$A$501,$A80,Contacts!$B$2:$B$501,"*Builder Rep*")+COUNTIFS(Contacts!$A$2:$A$501,$A80,Contacts!$B$2:$B$501,"Sales*")=0,"MISSING","OK"))</f>
        <v/>
      </c>
      <c r="I80" s="31">
        <f>IF($A80="","",IF(COUNTIFS(Contacts!$A$2:$A$501,$A80,Contacts!$B$2:$B$501,"*Docs*")+COUNTIFS(Contacts!$A$2:$A$501,$A80,Contacts!$F$2:$F$501,"*builder doc*")=0,"MISSING","OK"))</f>
        <v/>
      </c>
      <c r="J80" s="31">
        <f>IF($A80="","",IF(COUNTIFS(Contacts!$A$2:$A$501,$A80,Contacts!$B$2:$B$501,"*Appraisal*")+COUNTIFS(Contacts!$A$2:$A$501,$A80,Contacts!$F$2:$F$501,"*apprais*")=0,"MISSING","OK"))</f>
        <v/>
      </c>
      <c r="K80" s="31">
        <f>IF($A80="","",IF(Builders!$B77="","MISSING",IF(COUNTIFS('Title Contacts'!$A$2:$A$601,Builders!$B77,'Title Contacts'!$B$2:$B$601,"*agent*",'Title Contacts'!$C$2:$C$601,"&lt;&gt;")&gt;0,"OK","MISSING")))</f>
        <v/>
      </c>
      <c r="L80" s="31">
        <f>IF($A80="","",IF(Builders!$B77="","MISSING",IF(COUNTIFS('Title Contacts'!$A$2:$A$601,Builders!$B77,'Title Contacts'!$B$2:$B$601,"*assistant*",'Title Contacts'!$C$2:$C$601,"&lt;&gt;")&gt;0,"OK","MISSING")))</f>
        <v/>
      </c>
      <c r="M80" s="31">
        <f>IF($A80="","",COUNTIF(B80:L80,"MISSING"))</f>
        <v/>
      </c>
    </row>
    <row r="81">
      <c r="A81" s="18">
        <f>IF(Builders!$A78="","",Builders!$A78)</f>
        <v/>
      </c>
      <c r="B81" s="31">
        <f>IF($A81="","",IF(Builders!$B78="","MISSING","OK"))</f>
        <v/>
      </c>
      <c r="C81" s="31">
        <f>IF($A81="","",IF(Builders!$C78="","MISSING","OK"))</f>
        <v/>
      </c>
      <c r="D81" s="31">
        <f>IF($A81="","",IF(Builders!$D78="","MISSING","OK"))</f>
        <v/>
      </c>
      <c r="E81" s="31">
        <f>IF($A81="","",IF(Builders!$F78="","MISSING","OK"))</f>
        <v/>
      </c>
      <c r="F81" s="31">
        <f>IF($A81="","",IF(COUNTIFS(Contacts!$A$2:$A$501,$A81,Contacts!$B$2:$B$501,"*Owner*")+COUNTIFS(Contacts!$A$2:$A$501,$A81,Contacts!$F$2:$F$501,"*owner*")=0,"MISSING","OK"))</f>
        <v/>
      </c>
      <c r="G81" s="31">
        <f>IF($A81="","",IF(COUNTIFS(Contacts!$A$2:$A$501,$A81,Contacts!$B$2:$B$501,"*Listing*")+COUNTIFS(Contacts!$A$2:$A$501,$A81,Contacts!$F$2:$F$501,"*listing agent*")=0,"MISSING","OK"))</f>
        <v/>
      </c>
      <c r="H81" s="31">
        <f>IF($A81="","",IF(COUNTIFS(Contacts!$A$2:$A$501,$A81,Contacts!$B$2:$B$501,"*Builder Rep*")+COUNTIFS(Contacts!$A$2:$A$501,$A81,Contacts!$B$2:$B$501,"Sales*")=0,"MISSING","OK"))</f>
        <v/>
      </c>
      <c r="I81" s="31">
        <f>IF($A81="","",IF(COUNTIFS(Contacts!$A$2:$A$501,$A81,Contacts!$B$2:$B$501,"*Docs*")+COUNTIFS(Contacts!$A$2:$A$501,$A81,Contacts!$F$2:$F$501,"*builder doc*")=0,"MISSING","OK"))</f>
        <v/>
      </c>
      <c r="J81" s="31">
        <f>IF($A81="","",IF(COUNTIFS(Contacts!$A$2:$A$501,$A81,Contacts!$B$2:$B$501,"*Appraisal*")+COUNTIFS(Contacts!$A$2:$A$501,$A81,Contacts!$F$2:$F$501,"*apprais*")=0,"MISSING","OK"))</f>
        <v/>
      </c>
      <c r="K81" s="31">
        <f>IF($A81="","",IF(Builders!$B78="","MISSING",IF(COUNTIFS('Title Contacts'!$A$2:$A$601,Builders!$B78,'Title Contacts'!$B$2:$B$601,"*agent*",'Title Contacts'!$C$2:$C$601,"&lt;&gt;")&gt;0,"OK","MISSING")))</f>
        <v/>
      </c>
      <c r="L81" s="31">
        <f>IF($A81="","",IF(Builders!$B78="","MISSING",IF(COUNTIFS('Title Contacts'!$A$2:$A$601,Builders!$B78,'Title Contacts'!$B$2:$B$601,"*assistant*",'Title Contacts'!$C$2:$C$601,"&lt;&gt;")&gt;0,"OK","MISSING")))</f>
        <v/>
      </c>
      <c r="M81" s="31">
        <f>IF($A81="","",COUNTIF(B81:L81,"MISSING"))</f>
        <v/>
      </c>
    </row>
    <row r="82">
      <c r="A82" s="18">
        <f>IF(Builders!$A79="","",Builders!$A79)</f>
        <v/>
      </c>
      <c r="B82" s="31">
        <f>IF($A82="","",IF(Builders!$B79="","MISSING","OK"))</f>
        <v/>
      </c>
      <c r="C82" s="31">
        <f>IF($A82="","",IF(Builders!$C79="","MISSING","OK"))</f>
        <v/>
      </c>
      <c r="D82" s="31">
        <f>IF($A82="","",IF(Builders!$D79="","MISSING","OK"))</f>
        <v/>
      </c>
      <c r="E82" s="31">
        <f>IF($A82="","",IF(Builders!$F79="","MISSING","OK"))</f>
        <v/>
      </c>
      <c r="F82" s="31">
        <f>IF($A82="","",IF(COUNTIFS(Contacts!$A$2:$A$501,$A82,Contacts!$B$2:$B$501,"*Owner*")+COUNTIFS(Contacts!$A$2:$A$501,$A82,Contacts!$F$2:$F$501,"*owner*")=0,"MISSING","OK"))</f>
        <v/>
      </c>
      <c r="G82" s="31">
        <f>IF($A82="","",IF(COUNTIFS(Contacts!$A$2:$A$501,$A82,Contacts!$B$2:$B$501,"*Listing*")+COUNTIFS(Contacts!$A$2:$A$501,$A82,Contacts!$F$2:$F$501,"*listing agent*")=0,"MISSING","OK"))</f>
        <v/>
      </c>
      <c r="H82" s="31">
        <f>IF($A82="","",IF(COUNTIFS(Contacts!$A$2:$A$501,$A82,Contacts!$B$2:$B$501,"*Builder Rep*")+COUNTIFS(Contacts!$A$2:$A$501,$A82,Contacts!$B$2:$B$501,"Sales*")=0,"MISSING","OK"))</f>
        <v/>
      </c>
      <c r="I82" s="31">
        <f>IF($A82="","",IF(COUNTIFS(Contacts!$A$2:$A$501,$A82,Contacts!$B$2:$B$501,"*Docs*")+COUNTIFS(Contacts!$A$2:$A$501,$A82,Contacts!$F$2:$F$501,"*builder doc*")=0,"MISSING","OK"))</f>
        <v/>
      </c>
      <c r="J82" s="31">
        <f>IF($A82="","",IF(COUNTIFS(Contacts!$A$2:$A$501,$A82,Contacts!$B$2:$B$501,"*Appraisal*")+COUNTIFS(Contacts!$A$2:$A$501,$A82,Contacts!$F$2:$F$501,"*apprais*")=0,"MISSING","OK"))</f>
        <v/>
      </c>
      <c r="K82" s="31">
        <f>IF($A82="","",IF(Builders!$B79="","MISSING",IF(COUNTIFS('Title Contacts'!$A$2:$A$601,Builders!$B79,'Title Contacts'!$B$2:$B$601,"*agent*",'Title Contacts'!$C$2:$C$601,"&lt;&gt;")&gt;0,"OK","MISSING")))</f>
        <v/>
      </c>
      <c r="L82" s="31">
        <f>IF($A82="","",IF(Builders!$B79="","MISSING",IF(COUNTIFS('Title Contacts'!$A$2:$A$601,Builders!$B79,'Title Contacts'!$B$2:$B$601,"*assistant*",'Title Contacts'!$C$2:$C$601,"&lt;&gt;")&gt;0,"OK","MISSING")))</f>
        <v/>
      </c>
      <c r="M82" s="31">
        <f>IF($A82="","",COUNTIF(B82:L82,"MISSING"))</f>
        <v/>
      </c>
    </row>
    <row r="83">
      <c r="A83" s="18">
        <f>IF(Builders!$A80="","",Builders!$A80)</f>
        <v/>
      </c>
      <c r="B83" s="31">
        <f>IF($A83="","",IF(Builders!$B80="","MISSING","OK"))</f>
        <v/>
      </c>
      <c r="C83" s="31">
        <f>IF($A83="","",IF(Builders!$C80="","MISSING","OK"))</f>
        <v/>
      </c>
      <c r="D83" s="31">
        <f>IF($A83="","",IF(Builders!$D80="","MISSING","OK"))</f>
        <v/>
      </c>
      <c r="E83" s="31">
        <f>IF($A83="","",IF(Builders!$F80="","MISSING","OK"))</f>
        <v/>
      </c>
      <c r="F83" s="31">
        <f>IF($A83="","",IF(COUNTIFS(Contacts!$A$2:$A$501,$A83,Contacts!$B$2:$B$501,"*Owner*")+COUNTIFS(Contacts!$A$2:$A$501,$A83,Contacts!$F$2:$F$501,"*owner*")=0,"MISSING","OK"))</f>
        <v/>
      </c>
      <c r="G83" s="31">
        <f>IF($A83="","",IF(COUNTIFS(Contacts!$A$2:$A$501,$A83,Contacts!$B$2:$B$501,"*Listing*")+COUNTIFS(Contacts!$A$2:$A$501,$A83,Contacts!$F$2:$F$501,"*listing agent*")=0,"MISSING","OK"))</f>
        <v/>
      </c>
      <c r="H83" s="31">
        <f>IF($A83="","",IF(COUNTIFS(Contacts!$A$2:$A$501,$A83,Contacts!$B$2:$B$501,"*Builder Rep*")+COUNTIFS(Contacts!$A$2:$A$501,$A83,Contacts!$B$2:$B$501,"Sales*")=0,"MISSING","OK"))</f>
        <v/>
      </c>
      <c r="I83" s="31">
        <f>IF($A83="","",IF(COUNTIFS(Contacts!$A$2:$A$501,$A83,Contacts!$B$2:$B$501,"*Docs*")+COUNTIFS(Contacts!$A$2:$A$501,$A83,Contacts!$F$2:$F$501,"*builder doc*")=0,"MISSING","OK"))</f>
        <v/>
      </c>
      <c r="J83" s="31">
        <f>IF($A83="","",IF(COUNTIFS(Contacts!$A$2:$A$501,$A83,Contacts!$B$2:$B$501,"*Appraisal*")+COUNTIFS(Contacts!$A$2:$A$501,$A83,Contacts!$F$2:$F$501,"*apprais*")=0,"MISSING","OK"))</f>
        <v/>
      </c>
      <c r="K83" s="31">
        <f>IF($A83="","",IF(Builders!$B80="","MISSING",IF(COUNTIFS('Title Contacts'!$A$2:$A$601,Builders!$B80,'Title Contacts'!$B$2:$B$601,"*agent*",'Title Contacts'!$C$2:$C$601,"&lt;&gt;")&gt;0,"OK","MISSING")))</f>
        <v/>
      </c>
      <c r="L83" s="31">
        <f>IF($A83="","",IF(Builders!$B80="","MISSING",IF(COUNTIFS('Title Contacts'!$A$2:$A$601,Builders!$B80,'Title Contacts'!$B$2:$B$601,"*assistant*",'Title Contacts'!$C$2:$C$601,"&lt;&gt;")&gt;0,"OK","MISSING")))</f>
        <v/>
      </c>
      <c r="M83" s="31">
        <f>IF($A83="","",COUNTIF(B83:L83,"MISSING"))</f>
        <v/>
      </c>
    </row>
    <row r="84">
      <c r="A84" s="18">
        <f>IF(Builders!$A81="","",Builders!$A81)</f>
        <v/>
      </c>
      <c r="B84" s="31">
        <f>IF($A84="","",IF(Builders!$B81="","MISSING","OK"))</f>
        <v/>
      </c>
      <c r="C84" s="31">
        <f>IF($A84="","",IF(Builders!$C81="","MISSING","OK"))</f>
        <v/>
      </c>
      <c r="D84" s="31">
        <f>IF($A84="","",IF(Builders!$D81="","MISSING","OK"))</f>
        <v/>
      </c>
      <c r="E84" s="31">
        <f>IF($A84="","",IF(Builders!$F81="","MISSING","OK"))</f>
        <v/>
      </c>
      <c r="F84" s="31">
        <f>IF($A84="","",IF(COUNTIFS(Contacts!$A$2:$A$501,$A84,Contacts!$B$2:$B$501,"*Owner*")+COUNTIFS(Contacts!$A$2:$A$501,$A84,Contacts!$F$2:$F$501,"*owner*")=0,"MISSING","OK"))</f>
        <v/>
      </c>
      <c r="G84" s="31">
        <f>IF($A84="","",IF(COUNTIFS(Contacts!$A$2:$A$501,$A84,Contacts!$B$2:$B$501,"*Listing*")+COUNTIFS(Contacts!$A$2:$A$501,$A84,Contacts!$F$2:$F$501,"*listing agent*")=0,"MISSING","OK"))</f>
        <v/>
      </c>
      <c r="H84" s="31">
        <f>IF($A84="","",IF(COUNTIFS(Contacts!$A$2:$A$501,$A84,Contacts!$B$2:$B$501,"*Builder Rep*")+COUNTIFS(Contacts!$A$2:$A$501,$A84,Contacts!$B$2:$B$501,"Sales*")=0,"MISSING","OK"))</f>
        <v/>
      </c>
      <c r="I84" s="31">
        <f>IF($A84="","",IF(COUNTIFS(Contacts!$A$2:$A$501,$A84,Contacts!$B$2:$B$501,"*Docs*")+COUNTIFS(Contacts!$A$2:$A$501,$A84,Contacts!$F$2:$F$501,"*builder doc*")=0,"MISSING","OK"))</f>
        <v/>
      </c>
      <c r="J84" s="31">
        <f>IF($A84="","",IF(COUNTIFS(Contacts!$A$2:$A$501,$A84,Contacts!$B$2:$B$501,"*Appraisal*")+COUNTIFS(Contacts!$A$2:$A$501,$A84,Contacts!$F$2:$F$501,"*apprais*")=0,"MISSING","OK"))</f>
        <v/>
      </c>
      <c r="K84" s="31">
        <f>IF($A84="","",IF(Builders!$B81="","MISSING",IF(COUNTIFS('Title Contacts'!$A$2:$A$601,Builders!$B81,'Title Contacts'!$B$2:$B$601,"*agent*",'Title Contacts'!$C$2:$C$601,"&lt;&gt;")&gt;0,"OK","MISSING")))</f>
        <v/>
      </c>
      <c r="L84" s="31">
        <f>IF($A84="","",IF(Builders!$B81="","MISSING",IF(COUNTIFS('Title Contacts'!$A$2:$A$601,Builders!$B81,'Title Contacts'!$B$2:$B$601,"*assistant*",'Title Contacts'!$C$2:$C$601,"&lt;&gt;")&gt;0,"OK","MISSING")))</f>
        <v/>
      </c>
      <c r="M84" s="31">
        <f>IF($A84="","",COUNTIF(B84:L84,"MISSING"))</f>
        <v/>
      </c>
    </row>
    <row r="85">
      <c r="A85" s="18">
        <f>IF(Builders!$A82="","",Builders!$A82)</f>
        <v/>
      </c>
      <c r="B85" s="31">
        <f>IF($A85="","",IF(Builders!$B82="","MISSING","OK"))</f>
        <v/>
      </c>
      <c r="C85" s="31">
        <f>IF($A85="","",IF(Builders!$C82="","MISSING","OK"))</f>
        <v/>
      </c>
      <c r="D85" s="31">
        <f>IF($A85="","",IF(Builders!$D82="","MISSING","OK"))</f>
        <v/>
      </c>
      <c r="E85" s="31">
        <f>IF($A85="","",IF(Builders!$F82="","MISSING","OK"))</f>
        <v/>
      </c>
      <c r="F85" s="31">
        <f>IF($A85="","",IF(COUNTIFS(Contacts!$A$2:$A$501,$A85,Contacts!$B$2:$B$501,"*Owner*")+COUNTIFS(Contacts!$A$2:$A$501,$A85,Contacts!$F$2:$F$501,"*owner*")=0,"MISSING","OK"))</f>
        <v/>
      </c>
      <c r="G85" s="31">
        <f>IF($A85="","",IF(COUNTIFS(Contacts!$A$2:$A$501,$A85,Contacts!$B$2:$B$501,"*Listing*")+COUNTIFS(Contacts!$A$2:$A$501,$A85,Contacts!$F$2:$F$501,"*listing agent*")=0,"MISSING","OK"))</f>
        <v/>
      </c>
      <c r="H85" s="31">
        <f>IF($A85="","",IF(COUNTIFS(Contacts!$A$2:$A$501,$A85,Contacts!$B$2:$B$501,"*Builder Rep*")+COUNTIFS(Contacts!$A$2:$A$501,$A85,Contacts!$B$2:$B$501,"Sales*")=0,"MISSING","OK"))</f>
        <v/>
      </c>
      <c r="I85" s="31">
        <f>IF($A85="","",IF(COUNTIFS(Contacts!$A$2:$A$501,$A85,Contacts!$B$2:$B$501,"*Docs*")+COUNTIFS(Contacts!$A$2:$A$501,$A85,Contacts!$F$2:$F$501,"*builder doc*")=0,"MISSING","OK"))</f>
        <v/>
      </c>
      <c r="J85" s="31">
        <f>IF($A85="","",IF(COUNTIFS(Contacts!$A$2:$A$501,$A85,Contacts!$B$2:$B$501,"*Appraisal*")+COUNTIFS(Contacts!$A$2:$A$501,$A85,Contacts!$F$2:$F$501,"*apprais*")=0,"MISSING","OK"))</f>
        <v/>
      </c>
      <c r="K85" s="31">
        <f>IF($A85="","",IF(Builders!$B82="","MISSING",IF(COUNTIFS('Title Contacts'!$A$2:$A$601,Builders!$B82,'Title Contacts'!$B$2:$B$601,"*agent*",'Title Contacts'!$C$2:$C$601,"&lt;&gt;")&gt;0,"OK","MISSING")))</f>
        <v/>
      </c>
      <c r="L85" s="31">
        <f>IF($A85="","",IF(Builders!$B82="","MISSING",IF(COUNTIFS('Title Contacts'!$A$2:$A$601,Builders!$B82,'Title Contacts'!$B$2:$B$601,"*assistant*",'Title Contacts'!$C$2:$C$601,"&lt;&gt;")&gt;0,"OK","MISSING")))</f>
        <v/>
      </c>
      <c r="M85" s="31">
        <f>IF($A85="","",COUNTIF(B85:L85,"MISSING"))</f>
        <v/>
      </c>
    </row>
    <row r="86">
      <c r="A86" s="18">
        <f>IF(Builders!$A83="","",Builders!$A83)</f>
        <v/>
      </c>
      <c r="B86" s="31">
        <f>IF($A86="","",IF(Builders!$B83="","MISSING","OK"))</f>
        <v/>
      </c>
      <c r="C86" s="31">
        <f>IF($A86="","",IF(Builders!$C83="","MISSING","OK"))</f>
        <v/>
      </c>
      <c r="D86" s="31">
        <f>IF($A86="","",IF(Builders!$D83="","MISSING","OK"))</f>
        <v/>
      </c>
      <c r="E86" s="31">
        <f>IF($A86="","",IF(Builders!$F83="","MISSING","OK"))</f>
        <v/>
      </c>
      <c r="F86" s="31">
        <f>IF($A86="","",IF(COUNTIFS(Contacts!$A$2:$A$501,$A86,Contacts!$B$2:$B$501,"*Owner*")+COUNTIFS(Contacts!$A$2:$A$501,$A86,Contacts!$F$2:$F$501,"*owner*")=0,"MISSING","OK"))</f>
        <v/>
      </c>
      <c r="G86" s="31">
        <f>IF($A86="","",IF(COUNTIFS(Contacts!$A$2:$A$501,$A86,Contacts!$B$2:$B$501,"*Listing*")+COUNTIFS(Contacts!$A$2:$A$501,$A86,Contacts!$F$2:$F$501,"*listing agent*")=0,"MISSING","OK"))</f>
        <v/>
      </c>
      <c r="H86" s="31">
        <f>IF($A86="","",IF(COUNTIFS(Contacts!$A$2:$A$501,$A86,Contacts!$B$2:$B$501,"*Builder Rep*")+COUNTIFS(Contacts!$A$2:$A$501,$A86,Contacts!$B$2:$B$501,"Sales*")=0,"MISSING","OK"))</f>
        <v/>
      </c>
      <c r="I86" s="31">
        <f>IF($A86="","",IF(COUNTIFS(Contacts!$A$2:$A$501,$A86,Contacts!$B$2:$B$501,"*Docs*")+COUNTIFS(Contacts!$A$2:$A$501,$A86,Contacts!$F$2:$F$501,"*builder doc*")=0,"MISSING","OK"))</f>
        <v/>
      </c>
      <c r="J86" s="31">
        <f>IF($A86="","",IF(COUNTIFS(Contacts!$A$2:$A$501,$A86,Contacts!$B$2:$B$501,"*Appraisal*")+COUNTIFS(Contacts!$A$2:$A$501,$A86,Contacts!$F$2:$F$501,"*apprais*")=0,"MISSING","OK"))</f>
        <v/>
      </c>
      <c r="K86" s="31">
        <f>IF($A86="","",IF(Builders!$B83="","MISSING",IF(COUNTIFS('Title Contacts'!$A$2:$A$601,Builders!$B83,'Title Contacts'!$B$2:$B$601,"*agent*",'Title Contacts'!$C$2:$C$601,"&lt;&gt;")&gt;0,"OK","MISSING")))</f>
        <v/>
      </c>
      <c r="L86" s="31">
        <f>IF($A86="","",IF(Builders!$B83="","MISSING",IF(COUNTIFS('Title Contacts'!$A$2:$A$601,Builders!$B83,'Title Contacts'!$B$2:$B$601,"*assistant*",'Title Contacts'!$C$2:$C$601,"&lt;&gt;")&gt;0,"OK","MISSING")))</f>
        <v/>
      </c>
      <c r="M86" s="31">
        <f>IF($A86="","",COUNTIF(B86:L86,"MISSING"))</f>
        <v/>
      </c>
    </row>
    <row r="87">
      <c r="A87" s="18">
        <f>IF(Builders!$A84="","",Builders!$A84)</f>
        <v/>
      </c>
      <c r="B87" s="31">
        <f>IF($A87="","",IF(Builders!$B84="","MISSING","OK"))</f>
        <v/>
      </c>
      <c r="C87" s="31">
        <f>IF($A87="","",IF(Builders!$C84="","MISSING","OK"))</f>
        <v/>
      </c>
      <c r="D87" s="31">
        <f>IF($A87="","",IF(Builders!$D84="","MISSING","OK"))</f>
        <v/>
      </c>
      <c r="E87" s="31">
        <f>IF($A87="","",IF(Builders!$F84="","MISSING","OK"))</f>
        <v/>
      </c>
      <c r="F87" s="31">
        <f>IF($A87="","",IF(COUNTIFS(Contacts!$A$2:$A$501,$A87,Contacts!$B$2:$B$501,"*Owner*")+COUNTIFS(Contacts!$A$2:$A$501,$A87,Contacts!$F$2:$F$501,"*owner*")=0,"MISSING","OK"))</f>
        <v/>
      </c>
      <c r="G87" s="31">
        <f>IF($A87="","",IF(COUNTIFS(Contacts!$A$2:$A$501,$A87,Contacts!$B$2:$B$501,"*Listing*")+COUNTIFS(Contacts!$A$2:$A$501,$A87,Contacts!$F$2:$F$501,"*listing agent*")=0,"MISSING","OK"))</f>
        <v/>
      </c>
      <c r="H87" s="31">
        <f>IF($A87="","",IF(COUNTIFS(Contacts!$A$2:$A$501,$A87,Contacts!$B$2:$B$501,"*Builder Rep*")+COUNTIFS(Contacts!$A$2:$A$501,$A87,Contacts!$B$2:$B$501,"Sales*")=0,"MISSING","OK"))</f>
        <v/>
      </c>
      <c r="I87" s="31">
        <f>IF($A87="","",IF(COUNTIFS(Contacts!$A$2:$A$501,$A87,Contacts!$B$2:$B$501,"*Docs*")+COUNTIFS(Contacts!$A$2:$A$501,$A87,Contacts!$F$2:$F$501,"*builder doc*")=0,"MISSING","OK"))</f>
        <v/>
      </c>
      <c r="J87" s="31">
        <f>IF($A87="","",IF(COUNTIFS(Contacts!$A$2:$A$501,$A87,Contacts!$B$2:$B$501,"*Appraisal*")+COUNTIFS(Contacts!$A$2:$A$501,$A87,Contacts!$F$2:$F$501,"*apprais*")=0,"MISSING","OK"))</f>
        <v/>
      </c>
      <c r="K87" s="31">
        <f>IF($A87="","",IF(Builders!$B84="","MISSING",IF(COUNTIFS('Title Contacts'!$A$2:$A$601,Builders!$B84,'Title Contacts'!$B$2:$B$601,"*agent*",'Title Contacts'!$C$2:$C$601,"&lt;&gt;")&gt;0,"OK","MISSING")))</f>
        <v/>
      </c>
      <c r="L87" s="31">
        <f>IF($A87="","",IF(Builders!$B84="","MISSING",IF(COUNTIFS('Title Contacts'!$A$2:$A$601,Builders!$B84,'Title Contacts'!$B$2:$B$601,"*assistant*",'Title Contacts'!$C$2:$C$601,"&lt;&gt;")&gt;0,"OK","MISSING")))</f>
        <v/>
      </c>
      <c r="M87" s="31">
        <f>IF($A87="","",COUNTIF(B87:L87,"MISSING"))</f>
        <v/>
      </c>
    </row>
    <row r="88">
      <c r="A88" s="18">
        <f>IF(Builders!$A85="","",Builders!$A85)</f>
        <v/>
      </c>
      <c r="B88" s="31">
        <f>IF($A88="","",IF(Builders!$B85="","MISSING","OK"))</f>
        <v/>
      </c>
      <c r="C88" s="31">
        <f>IF($A88="","",IF(Builders!$C85="","MISSING","OK"))</f>
        <v/>
      </c>
      <c r="D88" s="31">
        <f>IF($A88="","",IF(Builders!$D85="","MISSING","OK"))</f>
        <v/>
      </c>
      <c r="E88" s="31">
        <f>IF($A88="","",IF(Builders!$F85="","MISSING","OK"))</f>
        <v/>
      </c>
      <c r="F88" s="31">
        <f>IF($A88="","",IF(COUNTIFS(Contacts!$A$2:$A$501,$A88,Contacts!$B$2:$B$501,"*Owner*")+COUNTIFS(Contacts!$A$2:$A$501,$A88,Contacts!$F$2:$F$501,"*owner*")=0,"MISSING","OK"))</f>
        <v/>
      </c>
      <c r="G88" s="31">
        <f>IF($A88="","",IF(COUNTIFS(Contacts!$A$2:$A$501,$A88,Contacts!$B$2:$B$501,"*Listing*")+COUNTIFS(Contacts!$A$2:$A$501,$A88,Contacts!$F$2:$F$501,"*listing agent*")=0,"MISSING","OK"))</f>
        <v/>
      </c>
      <c r="H88" s="31">
        <f>IF($A88="","",IF(COUNTIFS(Contacts!$A$2:$A$501,$A88,Contacts!$B$2:$B$501,"*Builder Rep*")+COUNTIFS(Contacts!$A$2:$A$501,$A88,Contacts!$B$2:$B$501,"Sales*")=0,"MISSING","OK"))</f>
        <v/>
      </c>
      <c r="I88" s="31">
        <f>IF($A88="","",IF(COUNTIFS(Contacts!$A$2:$A$501,$A88,Contacts!$B$2:$B$501,"*Docs*")+COUNTIFS(Contacts!$A$2:$A$501,$A88,Contacts!$F$2:$F$501,"*builder doc*")=0,"MISSING","OK"))</f>
        <v/>
      </c>
      <c r="J88" s="31">
        <f>IF($A88="","",IF(COUNTIFS(Contacts!$A$2:$A$501,$A88,Contacts!$B$2:$B$501,"*Appraisal*")+COUNTIFS(Contacts!$A$2:$A$501,$A88,Contacts!$F$2:$F$501,"*apprais*")=0,"MISSING","OK"))</f>
        <v/>
      </c>
      <c r="K88" s="31">
        <f>IF($A88="","",IF(Builders!$B85="","MISSING",IF(COUNTIFS('Title Contacts'!$A$2:$A$601,Builders!$B85,'Title Contacts'!$B$2:$B$601,"*agent*",'Title Contacts'!$C$2:$C$601,"&lt;&gt;")&gt;0,"OK","MISSING")))</f>
        <v/>
      </c>
      <c r="L88" s="31">
        <f>IF($A88="","",IF(Builders!$B85="","MISSING",IF(COUNTIFS('Title Contacts'!$A$2:$A$601,Builders!$B85,'Title Contacts'!$B$2:$B$601,"*assistant*",'Title Contacts'!$C$2:$C$601,"&lt;&gt;")&gt;0,"OK","MISSING")))</f>
        <v/>
      </c>
      <c r="M88" s="31">
        <f>IF($A88="","",COUNTIF(B88:L88,"MISSING"))</f>
        <v/>
      </c>
    </row>
    <row r="89">
      <c r="A89" s="18">
        <f>IF(Builders!$A86="","",Builders!$A86)</f>
        <v/>
      </c>
      <c r="B89" s="31">
        <f>IF($A89="","",IF(Builders!$B86="","MISSING","OK"))</f>
        <v/>
      </c>
      <c r="C89" s="31">
        <f>IF($A89="","",IF(Builders!$C86="","MISSING","OK"))</f>
        <v/>
      </c>
      <c r="D89" s="31">
        <f>IF($A89="","",IF(Builders!$D86="","MISSING","OK"))</f>
        <v/>
      </c>
      <c r="E89" s="31">
        <f>IF($A89="","",IF(Builders!$F86="","MISSING","OK"))</f>
        <v/>
      </c>
      <c r="F89" s="31">
        <f>IF($A89="","",IF(COUNTIFS(Contacts!$A$2:$A$501,$A89,Contacts!$B$2:$B$501,"*Owner*")+COUNTIFS(Contacts!$A$2:$A$501,$A89,Contacts!$F$2:$F$501,"*owner*")=0,"MISSING","OK"))</f>
        <v/>
      </c>
      <c r="G89" s="31">
        <f>IF($A89="","",IF(COUNTIFS(Contacts!$A$2:$A$501,$A89,Contacts!$B$2:$B$501,"*Listing*")+COUNTIFS(Contacts!$A$2:$A$501,$A89,Contacts!$F$2:$F$501,"*listing agent*")=0,"MISSING","OK"))</f>
        <v/>
      </c>
      <c r="H89" s="31">
        <f>IF($A89="","",IF(COUNTIFS(Contacts!$A$2:$A$501,$A89,Contacts!$B$2:$B$501,"*Builder Rep*")+COUNTIFS(Contacts!$A$2:$A$501,$A89,Contacts!$B$2:$B$501,"Sales*")=0,"MISSING","OK"))</f>
        <v/>
      </c>
      <c r="I89" s="31">
        <f>IF($A89="","",IF(COUNTIFS(Contacts!$A$2:$A$501,$A89,Contacts!$B$2:$B$501,"*Docs*")+COUNTIFS(Contacts!$A$2:$A$501,$A89,Contacts!$F$2:$F$501,"*builder doc*")=0,"MISSING","OK"))</f>
        <v/>
      </c>
      <c r="J89" s="31">
        <f>IF($A89="","",IF(COUNTIFS(Contacts!$A$2:$A$501,$A89,Contacts!$B$2:$B$501,"*Appraisal*")+COUNTIFS(Contacts!$A$2:$A$501,$A89,Contacts!$F$2:$F$501,"*apprais*")=0,"MISSING","OK"))</f>
        <v/>
      </c>
      <c r="K89" s="31">
        <f>IF($A89="","",IF(Builders!$B86="","MISSING",IF(COUNTIFS('Title Contacts'!$A$2:$A$601,Builders!$B86,'Title Contacts'!$B$2:$B$601,"*agent*",'Title Contacts'!$C$2:$C$601,"&lt;&gt;")&gt;0,"OK","MISSING")))</f>
        <v/>
      </c>
      <c r="L89" s="31">
        <f>IF($A89="","",IF(Builders!$B86="","MISSING",IF(COUNTIFS('Title Contacts'!$A$2:$A$601,Builders!$B86,'Title Contacts'!$B$2:$B$601,"*assistant*",'Title Contacts'!$C$2:$C$601,"&lt;&gt;")&gt;0,"OK","MISSING")))</f>
        <v/>
      </c>
      <c r="M89" s="31">
        <f>IF($A89="","",COUNTIF(B89:L89,"MISSING"))</f>
        <v/>
      </c>
    </row>
    <row r="90">
      <c r="A90" s="18">
        <f>IF(Builders!$A87="","",Builders!$A87)</f>
        <v/>
      </c>
      <c r="B90" s="31">
        <f>IF($A90="","",IF(Builders!$B87="","MISSING","OK"))</f>
        <v/>
      </c>
      <c r="C90" s="31">
        <f>IF($A90="","",IF(Builders!$C87="","MISSING","OK"))</f>
        <v/>
      </c>
      <c r="D90" s="31">
        <f>IF($A90="","",IF(Builders!$D87="","MISSING","OK"))</f>
        <v/>
      </c>
      <c r="E90" s="31">
        <f>IF($A90="","",IF(Builders!$F87="","MISSING","OK"))</f>
        <v/>
      </c>
      <c r="F90" s="31">
        <f>IF($A90="","",IF(COUNTIFS(Contacts!$A$2:$A$501,$A90,Contacts!$B$2:$B$501,"*Owner*")+COUNTIFS(Contacts!$A$2:$A$501,$A90,Contacts!$F$2:$F$501,"*owner*")=0,"MISSING","OK"))</f>
        <v/>
      </c>
      <c r="G90" s="31">
        <f>IF($A90="","",IF(COUNTIFS(Contacts!$A$2:$A$501,$A90,Contacts!$B$2:$B$501,"*Listing*")+COUNTIFS(Contacts!$A$2:$A$501,$A90,Contacts!$F$2:$F$501,"*listing agent*")=0,"MISSING","OK"))</f>
        <v/>
      </c>
      <c r="H90" s="31">
        <f>IF($A90="","",IF(COUNTIFS(Contacts!$A$2:$A$501,$A90,Contacts!$B$2:$B$501,"*Builder Rep*")+COUNTIFS(Contacts!$A$2:$A$501,$A90,Contacts!$B$2:$B$501,"Sales*")=0,"MISSING","OK"))</f>
        <v/>
      </c>
      <c r="I90" s="31">
        <f>IF($A90="","",IF(COUNTIFS(Contacts!$A$2:$A$501,$A90,Contacts!$B$2:$B$501,"*Docs*")+COUNTIFS(Contacts!$A$2:$A$501,$A90,Contacts!$F$2:$F$501,"*builder doc*")=0,"MISSING","OK"))</f>
        <v/>
      </c>
      <c r="J90" s="31">
        <f>IF($A90="","",IF(COUNTIFS(Contacts!$A$2:$A$501,$A90,Contacts!$B$2:$B$501,"*Appraisal*")+COUNTIFS(Contacts!$A$2:$A$501,$A90,Contacts!$F$2:$F$501,"*apprais*")=0,"MISSING","OK"))</f>
        <v/>
      </c>
      <c r="K90" s="31">
        <f>IF($A90="","",IF(Builders!$B87="","MISSING",IF(COUNTIFS('Title Contacts'!$A$2:$A$601,Builders!$B87,'Title Contacts'!$B$2:$B$601,"*agent*",'Title Contacts'!$C$2:$C$601,"&lt;&gt;")&gt;0,"OK","MISSING")))</f>
        <v/>
      </c>
      <c r="L90" s="31">
        <f>IF($A90="","",IF(Builders!$B87="","MISSING",IF(COUNTIFS('Title Contacts'!$A$2:$A$601,Builders!$B87,'Title Contacts'!$B$2:$B$601,"*assistant*",'Title Contacts'!$C$2:$C$601,"&lt;&gt;")&gt;0,"OK","MISSING")))</f>
        <v/>
      </c>
      <c r="M90" s="31">
        <f>IF($A90="","",COUNTIF(B90:L90,"MISSING"))</f>
        <v/>
      </c>
    </row>
    <row r="91">
      <c r="A91" s="18">
        <f>IF(Builders!$A88="","",Builders!$A88)</f>
        <v/>
      </c>
      <c r="B91" s="31">
        <f>IF($A91="","",IF(Builders!$B88="","MISSING","OK"))</f>
        <v/>
      </c>
      <c r="C91" s="31">
        <f>IF($A91="","",IF(Builders!$C88="","MISSING","OK"))</f>
        <v/>
      </c>
      <c r="D91" s="31">
        <f>IF($A91="","",IF(Builders!$D88="","MISSING","OK"))</f>
        <v/>
      </c>
      <c r="E91" s="31">
        <f>IF($A91="","",IF(Builders!$F88="","MISSING","OK"))</f>
        <v/>
      </c>
      <c r="F91" s="31">
        <f>IF($A91="","",IF(COUNTIFS(Contacts!$A$2:$A$501,$A91,Contacts!$B$2:$B$501,"*Owner*")+COUNTIFS(Contacts!$A$2:$A$501,$A91,Contacts!$F$2:$F$501,"*owner*")=0,"MISSING","OK"))</f>
        <v/>
      </c>
      <c r="G91" s="31">
        <f>IF($A91="","",IF(COUNTIFS(Contacts!$A$2:$A$501,$A91,Contacts!$B$2:$B$501,"*Listing*")+COUNTIFS(Contacts!$A$2:$A$501,$A91,Contacts!$F$2:$F$501,"*listing agent*")=0,"MISSING","OK"))</f>
        <v/>
      </c>
      <c r="H91" s="31">
        <f>IF($A91="","",IF(COUNTIFS(Contacts!$A$2:$A$501,$A91,Contacts!$B$2:$B$501,"*Builder Rep*")+COUNTIFS(Contacts!$A$2:$A$501,$A91,Contacts!$B$2:$B$501,"Sales*")=0,"MISSING","OK"))</f>
        <v/>
      </c>
      <c r="I91" s="31">
        <f>IF($A91="","",IF(COUNTIFS(Contacts!$A$2:$A$501,$A91,Contacts!$B$2:$B$501,"*Docs*")+COUNTIFS(Contacts!$A$2:$A$501,$A91,Contacts!$F$2:$F$501,"*builder doc*")=0,"MISSING","OK"))</f>
        <v/>
      </c>
      <c r="J91" s="31">
        <f>IF($A91="","",IF(COUNTIFS(Contacts!$A$2:$A$501,$A91,Contacts!$B$2:$B$501,"*Appraisal*")+COUNTIFS(Contacts!$A$2:$A$501,$A91,Contacts!$F$2:$F$501,"*apprais*")=0,"MISSING","OK"))</f>
        <v/>
      </c>
      <c r="K91" s="31">
        <f>IF($A91="","",IF(Builders!$B88="","MISSING",IF(COUNTIFS('Title Contacts'!$A$2:$A$601,Builders!$B88,'Title Contacts'!$B$2:$B$601,"*agent*",'Title Contacts'!$C$2:$C$601,"&lt;&gt;")&gt;0,"OK","MISSING")))</f>
        <v/>
      </c>
      <c r="L91" s="31">
        <f>IF($A91="","",IF(Builders!$B88="","MISSING",IF(COUNTIFS('Title Contacts'!$A$2:$A$601,Builders!$B88,'Title Contacts'!$B$2:$B$601,"*assistant*",'Title Contacts'!$C$2:$C$601,"&lt;&gt;")&gt;0,"OK","MISSING")))</f>
        <v/>
      </c>
      <c r="M91" s="31">
        <f>IF($A91="","",COUNTIF(B91:L91,"MISSING"))</f>
        <v/>
      </c>
    </row>
    <row r="92">
      <c r="A92" s="18">
        <f>IF(Builders!$A89="","",Builders!$A89)</f>
        <v/>
      </c>
      <c r="B92" s="31">
        <f>IF($A92="","",IF(Builders!$B89="","MISSING","OK"))</f>
        <v/>
      </c>
      <c r="C92" s="31">
        <f>IF($A92="","",IF(Builders!$C89="","MISSING","OK"))</f>
        <v/>
      </c>
      <c r="D92" s="31">
        <f>IF($A92="","",IF(Builders!$D89="","MISSING","OK"))</f>
        <v/>
      </c>
      <c r="E92" s="31">
        <f>IF($A92="","",IF(Builders!$F89="","MISSING","OK"))</f>
        <v/>
      </c>
      <c r="F92" s="31">
        <f>IF($A92="","",IF(COUNTIFS(Contacts!$A$2:$A$501,$A92,Contacts!$B$2:$B$501,"*Owner*")+COUNTIFS(Contacts!$A$2:$A$501,$A92,Contacts!$F$2:$F$501,"*owner*")=0,"MISSING","OK"))</f>
        <v/>
      </c>
      <c r="G92" s="31">
        <f>IF($A92="","",IF(COUNTIFS(Contacts!$A$2:$A$501,$A92,Contacts!$B$2:$B$501,"*Listing*")+COUNTIFS(Contacts!$A$2:$A$501,$A92,Contacts!$F$2:$F$501,"*listing agent*")=0,"MISSING","OK"))</f>
        <v/>
      </c>
      <c r="H92" s="31">
        <f>IF($A92="","",IF(COUNTIFS(Contacts!$A$2:$A$501,$A92,Contacts!$B$2:$B$501,"*Builder Rep*")+COUNTIFS(Contacts!$A$2:$A$501,$A92,Contacts!$B$2:$B$501,"Sales*")=0,"MISSING","OK"))</f>
        <v/>
      </c>
      <c r="I92" s="31">
        <f>IF($A92="","",IF(COUNTIFS(Contacts!$A$2:$A$501,$A92,Contacts!$B$2:$B$501,"*Docs*")+COUNTIFS(Contacts!$A$2:$A$501,$A92,Contacts!$F$2:$F$501,"*builder doc*")=0,"MISSING","OK"))</f>
        <v/>
      </c>
      <c r="J92" s="31">
        <f>IF($A92="","",IF(COUNTIFS(Contacts!$A$2:$A$501,$A92,Contacts!$B$2:$B$501,"*Appraisal*")+COUNTIFS(Contacts!$A$2:$A$501,$A92,Contacts!$F$2:$F$501,"*apprais*")=0,"MISSING","OK"))</f>
        <v/>
      </c>
      <c r="K92" s="31">
        <f>IF($A92="","",IF(Builders!$B89="","MISSING",IF(COUNTIFS('Title Contacts'!$A$2:$A$601,Builders!$B89,'Title Contacts'!$B$2:$B$601,"*agent*",'Title Contacts'!$C$2:$C$601,"&lt;&gt;")&gt;0,"OK","MISSING")))</f>
        <v/>
      </c>
      <c r="L92" s="31">
        <f>IF($A92="","",IF(Builders!$B89="","MISSING",IF(COUNTIFS('Title Contacts'!$A$2:$A$601,Builders!$B89,'Title Contacts'!$B$2:$B$601,"*assistant*",'Title Contacts'!$C$2:$C$601,"&lt;&gt;")&gt;0,"OK","MISSING")))</f>
        <v/>
      </c>
      <c r="M92" s="31">
        <f>IF($A92="","",COUNTIF(B92:L92,"MISSING"))</f>
        <v/>
      </c>
    </row>
    <row r="93">
      <c r="A93" s="18">
        <f>IF(Builders!$A90="","",Builders!$A90)</f>
        <v/>
      </c>
      <c r="B93" s="31">
        <f>IF($A93="","",IF(Builders!$B90="","MISSING","OK"))</f>
        <v/>
      </c>
      <c r="C93" s="31">
        <f>IF($A93="","",IF(Builders!$C90="","MISSING","OK"))</f>
        <v/>
      </c>
      <c r="D93" s="31">
        <f>IF($A93="","",IF(Builders!$D90="","MISSING","OK"))</f>
        <v/>
      </c>
      <c r="E93" s="31">
        <f>IF($A93="","",IF(Builders!$F90="","MISSING","OK"))</f>
        <v/>
      </c>
      <c r="F93" s="31">
        <f>IF($A93="","",IF(COUNTIFS(Contacts!$A$2:$A$501,$A93,Contacts!$B$2:$B$501,"*Owner*")+COUNTIFS(Contacts!$A$2:$A$501,$A93,Contacts!$F$2:$F$501,"*owner*")=0,"MISSING","OK"))</f>
        <v/>
      </c>
      <c r="G93" s="31">
        <f>IF($A93="","",IF(COUNTIFS(Contacts!$A$2:$A$501,$A93,Contacts!$B$2:$B$501,"*Listing*")+COUNTIFS(Contacts!$A$2:$A$501,$A93,Contacts!$F$2:$F$501,"*listing agent*")=0,"MISSING","OK"))</f>
        <v/>
      </c>
      <c r="H93" s="31">
        <f>IF($A93="","",IF(COUNTIFS(Contacts!$A$2:$A$501,$A93,Contacts!$B$2:$B$501,"*Builder Rep*")+COUNTIFS(Contacts!$A$2:$A$501,$A93,Contacts!$B$2:$B$501,"Sales*")=0,"MISSING","OK"))</f>
        <v/>
      </c>
      <c r="I93" s="31">
        <f>IF($A93="","",IF(COUNTIFS(Contacts!$A$2:$A$501,$A93,Contacts!$B$2:$B$501,"*Docs*")+COUNTIFS(Contacts!$A$2:$A$501,$A93,Contacts!$F$2:$F$501,"*builder doc*")=0,"MISSING","OK"))</f>
        <v/>
      </c>
      <c r="J93" s="31">
        <f>IF($A93="","",IF(COUNTIFS(Contacts!$A$2:$A$501,$A93,Contacts!$B$2:$B$501,"*Appraisal*")+COUNTIFS(Contacts!$A$2:$A$501,$A93,Contacts!$F$2:$F$501,"*apprais*")=0,"MISSING","OK"))</f>
        <v/>
      </c>
      <c r="K93" s="31">
        <f>IF($A93="","",IF(Builders!$B90="","MISSING",IF(COUNTIFS('Title Contacts'!$A$2:$A$601,Builders!$B90,'Title Contacts'!$B$2:$B$601,"*agent*",'Title Contacts'!$C$2:$C$601,"&lt;&gt;")&gt;0,"OK","MISSING")))</f>
        <v/>
      </c>
      <c r="L93" s="31">
        <f>IF($A93="","",IF(Builders!$B90="","MISSING",IF(COUNTIFS('Title Contacts'!$A$2:$A$601,Builders!$B90,'Title Contacts'!$B$2:$B$601,"*assistant*",'Title Contacts'!$C$2:$C$601,"&lt;&gt;")&gt;0,"OK","MISSING")))</f>
        <v/>
      </c>
      <c r="M93" s="31">
        <f>IF($A93="","",COUNTIF(B93:L93,"MISSING"))</f>
        <v/>
      </c>
    </row>
    <row r="94">
      <c r="A94" s="18">
        <f>IF(Builders!$A91="","",Builders!$A91)</f>
        <v/>
      </c>
      <c r="B94" s="31">
        <f>IF($A94="","",IF(Builders!$B91="","MISSING","OK"))</f>
        <v/>
      </c>
      <c r="C94" s="31">
        <f>IF($A94="","",IF(Builders!$C91="","MISSING","OK"))</f>
        <v/>
      </c>
      <c r="D94" s="31">
        <f>IF($A94="","",IF(Builders!$D91="","MISSING","OK"))</f>
        <v/>
      </c>
      <c r="E94" s="31">
        <f>IF($A94="","",IF(Builders!$F91="","MISSING","OK"))</f>
        <v/>
      </c>
      <c r="F94" s="31">
        <f>IF($A94="","",IF(COUNTIFS(Contacts!$A$2:$A$501,$A94,Contacts!$B$2:$B$501,"*Owner*")+COUNTIFS(Contacts!$A$2:$A$501,$A94,Contacts!$F$2:$F$501,"*owner*")=0,"MISSING","OK"))</f>
        <v/>
      </c>
      <c r="G94" s="31">
        <f>IF($A94="","",IF(COUNTIFS(Contacts!$A$2:$A$501,$A94,Contacts!$B$2:$B$501,"*Listing*")+COUNTIFS(Contacts!$A$2:$A$501,$A94,Contacts!$F$2:$F$501,"*listing agent*")=0,"MISSING","OK"))</f>
        <v/>
      </c>
      <c r="H94" s="31">
        <f>IF($A94="","",IF(COUNTIFS(Contacts!$A$2:$A$501,$A94,Contacts!$B$2:$B$501,"*Builder Rep*")+COUNTIFS(Contacts!$A$2:$A$501,$A94,Contacts!$B$2:$B$501,"Sales*")=0,"MISSING","OK"))</f>
        <v/>
      </c>
      <c r="I94" s="31">
        <f>IF($A94="","",IF(COUNTIFS(Contacts!$A$2:$A$501,$A94,Contacts!$B$2:$B$501,"*Docs*")+COUNTIFS(Contacts!$A$2:$A$501,$A94,Contacts!$F$2:$F$501,"*builder doc*")=0,"MISSING","OK"))</f>
        <v/>
      </c>
      <c r="J94" s="31">
        <f>IF($A94="","",IF(COUNTIFS(Contacts!$A$2:$A$501,$A94,Contacts!$B$2:$B$501,"*Appraisal*")+COUNTIFS(Contacts!$A$2:$A$501,$A94,Contacts!$F$2:$F$501,"*apprais*")=0,"MISSING","OK"))</f>
        <v/>
      </c>
      <c r="K94" s="31">
        <f>IF($A94="","",IF(Builders!$B91="","MISSING",IF(COUNTIFS('Title Contacts'!$A$2:$A$601,Builders!$B91,'Title Contacts'!$B$2:$B$601,"*agent*",'Title Contacts'!$C$2:$C$601,"&lt;&gt;")&gt;0,"OK","MISSING")))</f>
        <v/>
      </c>
      <c r="L94" s="31">
        <f>IF($A94="","",IF(Builders!$B91="","MISSING",IF(COUNTIFS('Title Contacts'!$A$2:$A$601,Builders!$B91,'Title Contacts'!$B$2:$B$601,"*assistant*",'Title Contacts'!$C$2:$C$601,"&lt;&gt;")&gt;0,"OK","MISSING")))</f>
        <v/>
      </c>
      <c r="M94" s="31">
        <f>IF($A94="","",COUNTIF(B94:L94,"MISSING"))</f>
        <v/>
      </c>
    </row>
    <row r="95">
      <c r="A95" s="18">
        <f>IF(Builders!$A92="","",Builders!$A92)</f>
        <v/>
      </c>
      <c r="B95" s="31">
        <f>IF($A95="","",IF(Builders!$B92="","MISSING","OK"))</f>
        <v/>
      </c>
      <c r="C95" s="31">
        <f>IF($A95="","",IF(Builders!$C92="","MISSING","OK"))</f>
        <v/>
      </c>
      <c r="D95" s="31">
        <f>IF($A95="","",IF(Builders!$D92="","MISSING","OK"))</f>
        <v/>
      </c>
      <c r="E95" s="31">
        <f>IF($A95="","",IF(Builders!$F92="","MISSING","OK"))</f>
        <v/>
      </c>
      <c r="F95" s="31">
        <f>IF($A95="","",IF(COUNTIFS(Contacts!$A$2:$A$501,$A95,Contacts!$B$2:$B$501,"*Owner*")+COUNTIFS(Contacts!$A$2:$A$501,$A95,Contacts!$F$2:$F$501,"*owner*")=0,"MISSING","OK"))</f>
        <v/>
      </c>
      <c r="G95" s="31">
        <f>IF($A95="","",IF(COUNTIFS(Contacts!$A$2:$A$501,$A95,Contacts!$B$2:$B$501,"*Listing*")+COUNTIFS(Contacts!$A$2:$A$501,$A95,Contacts!$F$2:$F$501,"*listing agent*")=0,"MISSING","OK"))</f>
        <v/>
      </c>
      <c r="H95" s="31">
        <f>IF($A95="","",IF(COUNTIFS(Contacts!$A$2:$A$501,$A95,Contacts!$B$2:$B$501,"*Builder Rep*")+COUNTIFS(Contacts!$A$2:$A$501,$A95,Contacts!$B$2:$B$501,"Sales*")=0,"MISSING","OK"))</f>
        <v/>
      </c>
      <c r="I95" s="31">
        <f>IF($A95="","",IF(COUNTIFS(Contacts!$A$2:$A$501,$A95,Contacts!$B$2:$B$501,"*Docs*")+COUNTIFS(Contacts!$A$2:$A$501,$A95,Contacts!$F$2:$F$501,"*builder doc*")=0,"MISSING","OK"))</f>
        <v/>
      </c>
      <c r="J95" s="31">
        <f>IF($A95="","",IF(COUNTIFS(Contacts!$A$2:$A$501,$A95,Contacts!$B$2:$B$501,"*Appraisal*")+COUNTIFS(Contacts!$A$2:$A$501,$A95,Contacts!$F$2:$F$501,"*apprais*")=0,"MISSING","OK"))</f>
        <v/>
      </c>
      <c r="K95" s="31">
        <f>IF($A95="","",IF(Builders!$B92="","MISSING",IF(COUNTIFS('Title Contacts'!$A$2:$A$601,Builders!$B92,'Title Contacts'!$B$2:$B$601,"*agent*",'Title Contacts'!$C$2:$C$601,"&lt;&gt;")&gt;0,"OK","MISSING")))</f>
        <v/>
      </c>
      <c r="L95" s="31">
        <f>IF($A95="","",IF(Builders!$B92="","MISSING",IF(COUNTIFS('Title Contacts'!$A$2:$A$601,Builders!$B92,'Title Contacts'!$B$2:$B$601,"*assistant*",'Title Contacts'!$C$2:$C$601,"&lt;&gt;")&gt;0,"OK","MISSING")))</f>
        <v/>
      </c>
      <c r="M95" s="31">
        <f>IF($A95="","",COUNTIF(B95:L95,"MISSING"))</f>
        <v/>
      </c>
    </row>
    <row r="96">
      <c r="A96" s="18">
        <f>IF(Builders!$A93="","",Builders!$A93)</f>
        <v/>
      </c>
      <c r="B96" s="31">
        <f>IF($A96="","",IF(Builders!$B93="","MISSING","OK"))</f>
        <v/>
      </c>
      <c r="C96" s="31">
        <f>IF($A96="","",IF(Builders!$C93="","MISSING","OK"))</f>
        <v/>
      </c>
      <c r="D96" s="31">
        <f>IF($A96="","",IF(Builders!$D93="","MISSING","OK"))</f>
        <v/>
      </c>
      <c r="E96" s="31">
        <f>IF($A96="","",IF(Builders!$F93="","MISSING","OK"))</f>
        <v/>
      </c>
      <c r="F96" s="31">
        <f>IF($A96="","",IF(COUNTIFS(Contacts!$A$2:$A$501,$A96,Contacts!$B$2:$B$501,"*Owner*")+COUNTIFS(Contacts!$A$2:$A$501,$A96,Contacts!$F$2:$F$501,"*owner*")=0,"MISSING","OK"))</f>
        <v/>
      </c>
      <c r="G96" s="31">
        <f>IF($A96="","",IF(COUNTIFS(Contacts!$A$2:$A$501,$A96,Contacts!$B$2:$B$501,"*Listing*")+COUNTIFS(Contacts!$A$2:$A$501,$A96,Contacts!$F$2:$F$501,"*listing agent*")=0,"MISSING","OK"))</f>
        <v/>
      </c>
      <c r="H96" s="31">
        <f>IF($A96="","",IF(COUNTIFS(Contacts!$A$2:$A$501,$A96,Contacts!$B$2:$B$501,"*Builder Rep*")+COUNTIFS(Contacts!$A$2:$A$501,$A96,Contacts!$B$2:$B$501,"Sales*")=0,"MISSING","OK"))</f>
        <v/>
      </c>
      <c r="I96" s="31">
        <f>IF($A96="","",IF(COUNTIFS(Contacts!$A$2:$A$501,$A96,Contacts!$B$2:$B$501,"*Docs*")+COUNTIFS(Contacts!$A$2:$A$501,$A96,Contacts!$F$2:$F$501,"*builder doc*")=0,"MISSING","OK"))</f>
        <v/>
      </c>
      <c r="J96" s="31">
        <f>IF($A96="","",IF(COUNTIFS(Contacts!$A$2:$A$501,$A96,Contacts!$B$2:$B$501,"*Appraisal*")+COUNTIFS(Contacts!$A$2:$A$501,$A96,Contacts!$F$2:$F$501,"*apprais*")=0,"MISSING","OK"))</f>
        <v/>
      </c>
      <c r="K96" s="31">
        <f>IF($A96="","",IF(Builders!$B93="","MISSING",IF(COUNTIFS('Title Contacts'!$A$2:$A$601,Builders!$B93,'Title Contacts'!$B$2:$B$601,"*agent*",'Title Contacts'!$C$2:$C$601,"&lt;&gt;")&gt;0,"OK","MISSING")))</f>
        <v/>
      </c>
      <c r="L96" s="31">
        <f>IF($A96="","",IF(Builders!$B93="","MISSING",IF(COUNTIFS('Title Contacts'!$A$2:$A$601,Builders!$B93,'Title Contacts'!$B$2:$B$601,"*assistant*",'Title Contacts'!$C$2:$C$601,"&lt;&gt;")&gt;0,"OK","MISSING")))</f>
        <v/>
      </c>
      <c r="M96" s="31">
        <f>IF($A96="","",COUNTIF(B96:L96,"MISSING"))</f>
        <v/>
      </c>
    </row>
    <row r="97">
      <c r="A97" s="18">
        <f>IF(Builders!$A94="","",Builders!$A94)</f>
        <v/>
      </c>
      <c r="B97" s="31">
        <f>IF($A97="","",IF(Builders!$B94="","MISSING","OK"))</f>
        <v/>
      </c>
      <c r="C97" s="31">
        <f>IF($A97="","",IF(Builders!$C94="","MISSING","OK"))</f>
        <v/>
      </c>
      <c r="D97" s="31">
        <f>IF($A97="","",IF(Builders!$D94="","MISSING","OK"))</f>
        <v/>
      </c>
      <c r="E97" s="31">
        <f>IF($A97="","",IF(Builders!$F94="","MISSING","OK"))</f>
        <v/>
      </c>
      <c r="F97" s="31">
        <f>IF($A97="","",IF(COUNTIFS(Contacts!$A$2:$A$501,$A97,Contacts!$B$2:$B$501,"*Owner*")+COUNTIFS(Contacts!$A$2:$A$501,$A97,Contacts!$F$2:$F$501,"*owner*")=0,"MISSING","OK"))</f>
        <v/>
      </c>
      <c r="G97" s="31">
        <f>IF($A97="","",IF(COUNTIFS(Contacts!$A$2:$A$501,$A97,Contacts!$B$2:$B$501,"*Listing*")+COUNTIFS(Contacts!$A$2:$A$501,$A97,Contacts!$F$2:$F$501,"*listing agent*")=0,"MISSING","OK"))</f>
        <v/>
      </c>
      <c r="H97" s="31">
        <f>IF($A97="","",IF(COUNTIFS(Contacts!$A$2:$A$501,$A97,Contacts!$B$2:$B$501,"*Builder Rep*")+COUNTIFS(Contacts!$A$2:$A$501,$A97,Contacts!$B$2:$B$501,"Sales*")=0,"MISSING","OK"))</f>
        <v/>
      </c>
      <c r="I97" s="31">
        <f>IF($A97="","",IF(COUNTIFS(Contacts!$A$2:$A$501,$A97,Contacts!$B$2:$B$501,"*Docs*")+COUNTIFS(Contacts!$A$2:$A$501,$A97,Contacts!$F$2:$F$501,"*builder doc*")=0,"MISSING","OK"))</f>
        <v/>
      </c>
      <c r="J97" s="31">
        <f>IF($A97="","",IF(COUNTIFS(Contacts!$A$2:$A$501,$A97,Contacts!$B$2:$B$501,"*Appraisal*")+COUNTIFS(Contacts!$A$2:$A$501,$A97,Contacts!$F$2:$F$501,"*apprais*")=0,"MISSING","OK"))</f>
        <v/>
      </c>
      <c r="K97" s="31">
        <f>IF($A97="","",IF(Builders!$B94="","MISSING",IF(COUNTIFS('Title Contacts'!$A$2:$A$601,Builders!$B94,'Title Contacts'!$B$2:$B$601,"*agent*",'Title Contacts'!$C$2:$C$601,"&lt;&gt;")&gt;0,"OK","MISSING")))</f>
        <v/>
      </c>
      <c r="L97" s="31">
        <f>IF($A97="","",IF(Builders!$B94="","MISSING",IF(COUNTIFS('Title Contacts'!$A$2:$A$601,Builders!$B94,'Title Contacts'!$B$2:$B$601,"*assistant*",'Title Contacts'!$C$2:$C$601,"&lt;&gt;")&gt;0,"OK","MISSING")))</f>
        <v/>
      </c>
      <c r="M97" s="31">
        <f>IF($A97="","",COUNTIF(B97:L97,"MISSING"))</f>
        <v/>
      </c>
    </row>
    <row r="98">
      <c r="A98" s="18">
        <f>IF(Builders!$A95="","",Builders!$A95)</f>
        <v/>
      </c>
      <c r="B98" s="31">
        <f>IF($A98="","",IF(Builders!$B95="","MISSING","OK"))</f>
        <v/>
      </c>
      <c r="C98" s="31">
        <f>IF($A98="","",IF(Builders!$C95="","MISSING","OK"))</f>
        <v/>
      </c>
      <c r="D98" s="31">
        <f>IF($A98="","",IF(Builders!$D95="","MISSING","OK"))</f>
        <v/>
      </c>
      <c r="E98" s="31">
        <f>IF($A98="","",IF(Builders!$F95="","MISSING","OK"))</f>
        <v/>
      </c>
      <c r="F98" s="31">
        <f>IF($A98="","",IF(COUNTIFS(Contacts!$A$2:$A$501,$A98,Contacts!$B$2:$B$501,"*Owner*")+COUNTIFS(Contacts!$A$2:$A$501,$A98,Contacts!$F$2:$F$501,"*owner*")=0,"MISSING","OK"))</f>
        <v/>
      </c>
      <c r="G98" s="31">
        <f>IF($A98="","",IF(COUNTIFS(Contacts!$A$2:$A$501,$A98,Contacts!$B$2:$B$501,"*Listing*")+COUNTIFS(Contacts!$A$2:$A$501,$A98,Contacts!$F$2:$F$501,"*listing agent*")=0,"MISSING","OK"))</f>
        <v/>
      </c>
      <c r="H98" s="31">
        <f>IF($A98="","",IF(COUNTIFS(Contacts!$A$2:$A$501,$A98,Contacts!$B$2:$B$501,"*Builder Rep*")+COUNTIFS(Contacts!$A$2:$A$501,$A98,Contacts!$B$2:$B$501,"Sales*")=0,"MISSING","OK"))</f>
        <v/>
      </c>
      <c r="I98" s="31">
        <f>IF($A98="","",IF(COUNTIFS(Contacts!$A$2:$A$501,$A98,Contacts!$B$2:$B$501,"*Docs*")+COUNTIFS(Contacts!$A$2:$A$501,$A98,Contacts!$F$2:$F$501,"*builder doc*")=0,"MISSING","OK"))</f>
        <v/>
      </c>
      <c r="J98" s="31">
        <f>IF($A98="","",IF(COUNTIFS(Contacts!$A$2:$A$501,$A98,Contacts!$B$2:$B$501,"*Appraisal*")+COUNTIFS(Contacts!$A$2:$A$501,$A98,Contacts!$F$2:$F$501,"*apprais*")=0,"MISSING","OK"))</f>
        <v/>
      </c>
      <c r="K98" s="31">
        <f>IF($A98="","",IF(Builders!$B95="","MISSING",IF(COUNTIFS('Title Contacts'!$A$2:$A$601,Builders!$B95,'Title Contacts'!$B$2:$B$601,"*agent*",'Title Contacts'!$C$2:$C$601,"&lt;&gt;")&gt;0,"OK","MISSING")))</f>
        <v/>
      </c>
      <c r="L98" s="31">
        <f>IF($A98="","",IF(Builders!$B95="","MISSING",IF(COUNTIFS('Title Contacts'!$A$2:$A$601,Builders!$B95,'Title Contacts'!$B$2:$B$601,"*assistant*",'Title Contacts'!$C$2:$C$601,"&lt;&gt;")&gt;0,"OK","MISSING")))</f>
        <v/>
      </c>
      <c r="M98" s="31">
        <f>IF($A98="","",COUNTIF(B98:L98,"MISSING"))</f>
        <v/>
      </c>
    </row>
    <row r="99">
      <c r="A99" s="18">
        <f>IF(Builders!$A96="","",Builders!$A96)</f>
        <v/>
      </c>
      <c r="B99" s="31">
        <f>IF($A99="","",IF(Builders!$B96="","MISSING","OK"))</f>
        <v/>
      </c>
      <c r="C99" s="31">
        <f>IF($A99="","",IF(Builders!$C96="","MISSING","OK"))</f>
        <v/>
      </c>
      <c r="D99" s="31">
        <f>IF($A99="","",IF(Builders!$D96="","MISSING","OK"))</f>
        <v/>
      </c>
      <c r="E99" s="31">
        <f>IF($A99="","",IF(Builders!$F96="","MISSING","OK"))</f>
        <v/>
      </c>
      <c r="F99" s="31">
        <f>IF($A99="","",IF(COUNTIFS(Contacts!$A$2:$A$501,$A99,Contacts!$B$2:$B$501,"*Owner*")+COUNTIFS(Contacts!$A$2:$A$501,$A99,Contacts!$F$2:$F$501,"*owner*")=0,"MISSING","OK"))</f>
        <v/>
      </c>
      <c r="G99" s="31">
        <f>IF($A99="","",IF(COUNTIFS(Contacts!$A$2:$A$501,$A99,Contacts!$B$2:$B$501,"*Listing*")+COUNTIFS(Contacts!$A$2:$A$501,$A99,Contacts!$F$2:$F$501,"*listing agent*")=0,"MISSING","OK"))</f>
        <v/>
      </c>
      <c r="H99" s="31">
        <f>IF($A99="","",IF(COUNTIFS(Contacts!$A$2:$A$501,$A99,Contacts!$B$2:$B$501,"*Builder Rep*")+COUNTIFS(Contacts!$A$2:$A$501,$A99,Contacts!$B$2:$B$501,"Sales*")=0,"MISSING","OK"))</f>
        <v/>
      </c>
      <c r="I99" s="31">
        <f>IF($A99="","",IF(COUNTIFS(Contacts!$A$2:$A$501,$A99,Contacts!$B$2:$B$501,"*Docs*")+COUNTIFS(Contacts!$A$2:$A$501,$A99,Contacts!$F$2:$F$501,"*builder doc*")=0,"MISSING","OK"))</f>
        <v/>
      </c>
      <c r="J99" s="31">
        <f>IF($A99="","",IF(COUNTIFS(Contacts!$A$2:$A$501,$A99,Contacts!$B$2:$B$501,"*Appraisal*")+COUNTIFS(Contacts!$A$2:$A$501,$A99,Contacts!$F$2:$F$501,"*apprais*")=0,"MISSING","OK"))</f>
        <v/>
      </c>
      <c r="K99" s="31">
        <f>IF($A99="","",IF(Builders!$B96="","MISSING",IF(COUNTIFS('Title Contacts'!$A$2:$A$601,Builders!$B96,'Title Contacts'!$B$2:$B$601,"*agent*",'Title Contacts'!$C$2:$C$601,"&lt;&gt;")&gt;0,"OK","MISSING")))</f>
        <v/>
      </c>
      <c r="L99" s="31">
        <f>IF($A99="","",IF(Builders!$B96="","MISSING",IF(COUNTIFS('Title Contacts'!$A$2:$A$601,Builders!$B96,'Title Contacts'!$B$2:$B$601,"*assistant*",'Title Contacts'!$C$2:$C$601,"&lt;&gt;")&gt;0,"OK","MISSING")))</f>
        <v/>
      </c>
      <c r="M99" s="31">
        <f>IF($A99="","",COUNTIF(B99:L99,"MISSING"))</f>
        <v/>
      </c>
    </row>
    <row r="100">
      <c r="A100" s="18">
        <f>IF(Builders!$A97="","",Builders!$A97)</f>
        <v/>
      </c>
      <c r="B100" s="31">
        <f>IF($A100="","",IF(Builders!$B97="","MISSING","OK"))</f>
        <v/>
      </c>
      <c r="C100" s="31">
        <f>IF($A100="","",IF(Builders!$C97="","MISSING","OK"))</f>
        <v/>
      </c>
      <c r="D100" s="31">
        <f>IF($A100="","",IF(Builders!$D97="","MISSING","OK"))</f>
        <v/>
      </c>
      <c r="E100" s="31">
        <f>IF($A100="","",IF(Builders!$F97="","MISSING","OK"))</f>
        <v/>
      </c>
      <c r="F100" s="31">
        <f>IF($A100="","",IF(COUNTIFS(Contacts!$A$2:$A$501,$A100,Contacts!$B$2:$B$501,"*Owner*")+COUNTIFS(Contacts!$A$2:$A$501,$A100,Contacts!$F$2:$F$501,"*owner*")=0,"MISSING","OK"))</f>
        <v/>
      </c>
      <c r="G100" s="31">
        <f>IF($A100="","",IF(COUNTIFS(Contacts!$A$2:$A$501,$A100,Contacts!$B$2:$B$501,"*Listing*")+COUNTIFS(Contacts!$A$2:$A$501,$A100,Contacts!$F$2:$F$501,"*listing agent*")=0,"MISSING","OK"))</f>
        <v/>
      </c>
      <c r="H100" s="31">
        <f>IF($A100="","",IF(COUNTIFS(Contacts!$A$2:$A$501,$A100,Contacts!$B$2:$B$501,"*Builder Rep*")+COUNTIFS(Contacts!$A$2:$A$501,$A100,Contacts!$B$2:$B$501,"Sales*")=0,"MISSING","OK"))</f>
        <v/>
      </c>
      <c r="I100" s="31">
        <f>IF($A100="","",IF(COUNTIFS(Contacts!$A$2:$A$501,$A100,Contacts!$B$2:$B$501,"*Docs*")+COUNTIFS(Contacts!$A$2:$A$501,$A100,Contacts!$F$2:$F$501,"*builder doc*")=0,"MISSING","OK"))</f>
        <v/>
      </c>
      <c r="J100" s="31">
        <f>IF($A100="","",IF(COUNTIFS(Contacts!$A$2:$A$501,$A100,Contacts!$B$2:$B$501,"*Appraisal*")+COUNTIFS(Contacts!$A$2:$A$501,$A100,Contacts!$F$2:$F$501,"*apprais*")=0,"MISSING","OK"))</f>
        <v/>
      </c>
      <c r="K100" s="31">
        <f>IF($A100="","",IF(Builders!$B97="","MISSING",IF(COUNTIFS('Title Contacts'!$A$2:$A$601,Builders!$B97,'Title Contacts'!$B$2:$B$601,"*agent*",'Title Contacts'!$C$2:$C$601,"&lt;&gt;")&gt;0,"OK","MISSING")))</f>
        <v/>
      </c>
      <c r="L100" s="31">
        <f>IF($A100="","",IF(Builders!$B97="","MISSING",IF(COUNTIFS('Title Contacts'!$A$2:$A$601,Builders!$B97,'Title Contacts'!$B$2:$B$601,"*assistant*",'Title Contacts'!$C$2:$C$601,"&lt;&gt;")&gt;0,"OK","MISSING")))</f>
        <v/>
      </c>
      <c r="M100" s="31">
        <f>IF($A100="","",COUNTIF(B100:L100,"MISSING"))</f>
        <v/>
      </c>
    </row>
    <row r="101">
      <c r="A101" s="18">
        <f>IF(Builders!$A98="","",Builders!$A98)</f>
        <v/>
      </c>
      <c r="B101" s="31">
        <f>IF($A101="","",IF(Builders!$B98="","MISSING","OK"))</f>
        <v/>
      </c>
      <c r="C101" s="31">
        <f>IF($A101="","",IF(Builders!$C98="","MISSING","OK"))</f>
        <v/>
      </c>
      <c r="D101" s="31">
        <f>IF($A101="","",IF(Builders!$D98="","MISSING","OK"))</f>
        <v/>
      </c>
      <c r="E101" s="31">
        <f>IF($A101="","",IF(Builders!$F98="","MISSING","OK"))</f>
        <v/>
      </c>
      <c r="F101" s="31">
        <f>IF($A101="","",IF(COUNTIFS(Contacts!$A$2:$A$501,$A101,Contacts!$B$2:$B$501,"*Owner*")+COUNTIFS(Contacts!$A$2:$A$501,$A101,Contacts!$F$2:$F$501,"*owner*")=0,"MISSING","OK"))</f>
        <v/>
      </c>
      <c r="G101" s="31">
        <f>IF($A101="","",IF(COUNTIFS(Contacts!$A$2:$A$501,$A101,Contacts!$B$2:$B$501,"*Listing*")+COUNTIFS(Contacts!$A$2:$A$501,$A101,Contacts!$F$2:$F$501,"*listing agent*")=0,"MISSING","OK"))</f>
        <v/>
      </c>
      <c r="H101" s="31">
        <f>IF($A101="","",IF(COUNTIFS(Contacts!$A$2:$A$501,$A101,Contacts!$B$2:$B$501,"*Builder Rep*")+COUNTIFS(Contacts!$A$2:$A$501,$A101,Contacts!$B$2:$B$501,"Sales*")=0,"MISSING","OK"))</f>
        <v/>
      </c>
      <c r="I101" s="31">
        <f>IF($A101="","",IF(COUNTIFS(Contacts!$A$2:$A$501,$A101,Contacts!$B$2:$B$501,"*Docs*")+COUNTIFS(Contacts!$A$2:$A$501,$A101,Contacts!$F$2:$F$501,"*builder doc*")=0,"MISSING","OK"))</f>
        <v/>
      </c>
      <c r="J101" s="31">
        <f>IF($A101="","",IF(COUNTIFS(Contacts!$A$2:$A$501,$A101,Contacts!$B$2:$B$501,"*Appraisal*")+COUNTIFS(Contacts!$A$2:$A$501,$A101,Contacts!$F$2:$F$501,"*apprais*")=0,"MISSING","OK"))</f>
        <v/>
      </c>
      <c r="K101" s="31">
        <f>IF($A101="","",IF(Builders!$B98="","MISSING",IF(COUNTIFS('Title Contacts'!$A$2:$A$601,Builders!$B98,'Title Contacts'!$B$2:$B$601,"*agent*",'Title Contacts'!$C$2:$C$601,"&lt;&gt;")&gt;0,"OK","MISSING")))</f>
        <v/>
      </c>
      <c r="L101" s="31">
        <f>IF($A101="","",IF(Builders!$B98="","MISSING",IF(COUNTIFS('Title Contacts'!$A$2:$A$601,Builders!$B98,'Title Contacts'!$B$2:$B$601,"*assistant*",'Title Contacts'!$C$2:$C$601,"&lt;&gt;")&gt;0,"OK","MISSING")))</f>
        <v/>
      </c>
      <c r="M101" s="31">
        <f>IF($A101="","",COUNTIF(B101:L101,"MISSING"))</f>
        <v/>
      </c>
    </row>
    <row r="102">
      <c r="A102" s="18">
        <f>IF(Builders!$A99="","",Builders!$A99)</f>
        <v/>
      </c>
      <c r="B102" s="31">
        <f>IF($A102="","",IF(Builders!$B99="","MISSING","OK"))</f>
        <v/>
      </c>
      <c r="C102" s="31">
        <f>IF($A102="","",IF(Builders!$C99="","MISSING","OK"))</f>
        <v/>
      </c>
      <c r="D102" s="31">
        <f>IF($A102="","",IF(Builders!$D99="","MISSING","OK"))</f>
        <v/>
      </c>
      <c r="E102" s="31">
        <f>IF($A102="","",IF(Builders!$F99="","MISSING","OK"))</f>
        <v/>
      </c>
      <c r="F102" s="31">
        <f>IF($A102="","",IF(COUNTIFS(Contacts!$A$2:$A$501,$A102,Contacts!$B$2:$B$501,"*Owner*")+COUNTIFS(Contacts!$A$2:$A$501,$A102,Contacts!$F$2:$F$501,"*owner*")=0,"MISSING","OK"))</f>
        <v/>
      </c>
      <c r="G102" s="31">
        <f>IF($A102="","",IF(COUNTIFS(Contacts!$A$2:$A$501,$A102,Contacts!$B$2:$B$501,"*Listing*")+COUNTIFS(Contacts!$A$2:$A$501,$A102,Contacts!$F$2:$F$501,"*listing agent*")=0,"MISSING","OK"))</f>
        <v/>
      </c>
      <c r="H102" s="31">
        <f>IF($A102="","",IF(COUNTIFS(Contacts!$A$2:$A$501,$A102,Contacts!$B$2:$B$501,"*Builder Rep*")+COUNTIFS(Contacts!$A$2:$A$501,$A102,Contacts!$B$2:$B$501,"Sales*")=0,"MISSING","OK"))</f>
        <v/>
      </c>
      <c r="I102" s="31">
        <f>IF($A102="","",IF(COUNTIFS(Contacts!$A$2:$A$501,$A102,Contacts!$B$2:$B$501,"*Docs*")+COUNTIFS(Contacts!$A$2:$A$501,$A102,Contacts!$F$2:$F$501,"*builder doc*")=0,"MISSING","OK"))</f>
        <v/>
      </c>
      <c r="J102" s="31">
        <f>IF($A102="","",IF(COUNTIFS(Contacts!$A$2:$A$501,$A102,Contacts!$B$2:$B$501,"*Appraisal*")+COUNTIFS(Contacts!$A$2:$A$501,$A102,Contacts!$F$2:$F$501,"*apprais*")=0,"MISSING","OK"))</f>
        <v/>
      </c>
      <c r="K102" s="31">
        <f>IF($A102="","",IF(Builders!$B99="","MISSING",IF(COUNTIFS('Title Contacts'!$A$2:$A$601,Builders!$B99,'Title Contacts'!$B$2:$B$601,"*agent*",'Title Contacts'!$C$2:$C$601,"&lt;&gt;")&gt;0,"OK","MISSING")))</f>
        <v/>
      </c>
      <c r="L102" s="31">
        <f>IF($A102="","",IF(Builders!$B99="","MISSING",IF(COUNTIFS('Title Contacts'!$A$2:$A$601,Builders!$B99,'Title Contacts'!$B$2:$B$601,"*assistant*",'Title Contacts'!$C$2:$C$601,"&lt;&gt;")&gt;0,"OK","MISSING")))</f>
        <v/>
      </c>
      <c r="M102" s="31">
        <f>IF($A102="","",COUNTIF(B102:L102,"MISSING"))</f>
        <v/>
      </c>
    </row>
    <row r="103">
      <c r="A103" s="18">
        <f>IF(Builders!$A100="","",Builders!$A100)</f>
        <v/>
      </c>
      <c r="B103" s="31">
        <f>IF($A103="","",IF(Builders!$B100="","MISSING","OK"))</f>
        <v/>
      </c>
      <c r="C103" s="31">
        <f>IF($A103="","",IF(Builders!$C100="","MISSING","OK"))</f>
        <v/>
      </c>
      <c r="D103" s="31">
        <f>IF($A103="","",IF(Builders!$D100="","MISSING","OK"))</f>
        <v/>
      </c>
      <c r="E103" s="31">
        <f>IF($A103="","",IF(Builders!$F100="","MISSING","OK"))</f>
        <v/>
      </c>
      <c r="F103" s="31">
        <f>IF($A103="","",IF(COUNTIFS(Contacts!$A$2:$A$501,$A103,Contacts!$B$2:$B$501,"*Owner*")+COUNTIFS(Contacts!$A$2:$A$501,$A103,Contacts!$F$2:$F$501,"*owner*")=0,"MISSING","OK"))</f>
        <v/>
      </c>
      <c r="G103" s="31">
        <f>IF($A103="","",IF(COUNTIFS(Contacts!$A$2:$A$501,$A103,Contacts!$B$2:$B$501,"*Listing*")+COUNTIFS(Contacts!$A$2:$A$501,$A103,Contacts!$F$2:$F$501,"*listing agent*")=0,"MISSING","OK"))</f>
        <v/>
      </c>
      <c r="H103" s="31">
        <f>IF($A103="","",IF(COUNTIFS(Contacts!$A$2:$A$501,$A103,Contacts!$B$2:$B$501,"*Builder Rep*")+COUNTIFS(Contacts!$A$2:$A$501,$A103,Contacts!$B$2:$B$501,"Sales*")=0,"MISSING","OK"))</f>
        <v/>
      </c>
      <c r="I103" s="31">
        <f>IF($A103="","",IF(COUNTIFS(Contacts!$A$2:$A$501,$A103,Contacts!$B$2:$B$501,"*Docs*")+COUNTIFS(Contacts!$A$2:$A$501,$A103,Contacts!$F$2:$F$501,"*builder doc*")=0,"MISSING","OK"))</f>
        <v/>
      </c>
      <c r="J103" s="31">
        <f>IF($A103="","",IF(COUNTIFS(Contacts!$A$2:$A$501,$A103,Contacts!$B$2:$B$501,"*Appraisal*")+COUNTIFS(Contacts!$A$2:$A$501,$A103,Contacts!$F$2:$F$501,"*apprais*")=0,"MISSING","OK"))</f>
        <v/>
      </c>
      <c r="K103" s="31">
        <f>IF($A103="","",IF(Builders!$B100="","MISSING",IF(COUNTIFS('Title Contacts'!$A$2:$A$601,Builders!$B100,'Title Contacts'!$B$2:$B$601,"*agent*",'Title Contacts'!$C$2:$C$601,"&lt;&gt;")&gt;0,"OK","MISSING")))</f>
        <v/>
      </c>
      <c r="L103" s="31">
        <f>IF($A103="","",IF(Builders!$B100="","MISSING",IF(COUNTIFS('Title Contacts'!$A$2:$A$601,Builders!$B100,'Title Contacts'!$B$2:$B$601,"*assistant*",'Title Contacts'!$C$2:$C$601,"&lt;&gt;")&gt;0,"OK","MISSING")))</f>
        <v/>
      </c>
      <c r="M103" s="31">
        <f>IF($A103="","",COUNTIF(B103:L103,"MISSING"))</f>
        <v/>
      </c>
    </row>
    <row r="104">
      <c r="A104" s="18">
        <f>IF(Builders!$A101="","",Builders!$A101)</f>
        <v/>
      </c>
      <c r="B104" s="31">
        <f>IF($A104="","",IF(Builders!$B101="","MISSING","OK"))</f>
        <v/>
      </c>
      <c r="C104" s="31">
        <f>IF($A104="","",IF(Builders!$C101="","MISSING","OK"))</f>
        <v/>
      </c>
      <c r="D104" s="31">
        <f>IF($A104="","",IF(Builders!$D101="","MISSING","OK"))</f>
        <v/>
      </c>
      <c r="E104" s="31">
        <f>IF($A104="","",IF(Builders!$F101="","MISSING","OK"))</f>
        <v/>
      </c>
      <c r="F104" s="31">
        <f>IF($A104="","",IF(COUNTIFS(Contacts!$A$2:$A$501,$A104,Contacts!$B$2:$B$501,"*Owner*")+COUNTIFS(Contacts!$A$2:$A$501,$A104,Contacts!$F$2:$F$501,"*owner*")=0,"MISSING","OK"))</f>
        <v/>
      </c>
      <c r="G104" s="31">
        <f>IF($A104="","",IF(COUNTIFS(Contacts!$A$2:$A$501,$A104,Contacts!$B$2:$B$501,"*Listing*")+COUNTIFS(Contacts!$A$2:$A$501,$A104,Contacts!$F$2:$F$501,"*listing agent*")=0,"MISSING","OK"))</f>
        <v/>
      </c>
      <c r="H104" s="31">
        <f>IF($A104="","",IF(COUNTIFS(Contacts!$A$2:$A$501,$A104,Contacts!$B$2:$B$501,"*Builder Rep*")+COUNTIFS(Contacts!$A$2:$A$501,$A104,Contacts!$B$2:$B$501,"Sales*")=0,"MISSING","OK"))</f>
        <v/>
      </c>
      <c r="I104" s="31">
        <f>IF($A104="","",IF(COUNTIFS(Contacts!$A$2:$A$501,$A104,Contacts!$B$2:$B$501,"*Docs*")+COUNTIFS(Contacts!$A$2:$A$501,$A104,Contacts!$F$2:$F$501,"*builder doc*")=0,"MISSING","OK"))</f>
        <v/>
      </c>
      <c r="J104" s="31">
        <f>IF($A104="","",IF(COUNTIFS(Contacts!$A$2:$A$501,$A104,Contacts!$B$2:$B$501,"*Appraisal*")+COUNTIFS(Contacts!$A$2:$A$501,$A104,Contacts!$F$2:$F$501,"*apprais*")=0,"MISSING","OK"))</f>
        <v/>
      </c>
      <c r="K104" s="31">
        <f>IF($A104="","",IF(Builders!$B101="","MISSING",IF(COUNTIFS('Title Contacts'!$A$2:$A$601,Builders!$B101,'Title Contacts'!$B$2:$B$601,"*agent*",'Title Contacts'!$C$2:$C$601,"&lt;&gt;")&gt;0,"OK","MISSING")))</f>
        <v/>
      </c>
      <c r="L104" s="31">
        <f>IF($A104="","",IF(Builders!$B101="","MISSING",IF(COUNTIFS('Title Contacts'!$A$2:$A$601,Builders!$B101,'Title Contacts'!$B$2:$B$601,"*assistant*",'Title Contacts'!$C$2:$C$601,"&lt;&gt;")&gt;0,"OK","MISSING")))</f>
        <v/>
      </c>
      <c r="M104" s="31">
        <f>IF($A104="","",COUNTIF(B104:L104,"MISSING"))</f>
        <v/>
      </c>
    </row>
    <row r="105">
      <c r="A105" s="18">
        <f>IF(Builders!$A102="","",Builders!$A102)</f>
        <v/>
      </c>
      <c r="B105" s="31">
        <f>IF($A105="","",IF(Builders!$B102="","MISSING","OK"))</f>
        <v/>
      </c>
      <c r="C105" s="31">
        <f>IF($A105="","",IF(Builders!$C102="","MISSING","OK"))</f>
        <v/>
      </c>
      <c r="D105" s="31">
        <f>IF($A105="","",IF(Builders!$D102="","MISSING","OK"))</f>
        <v/>
      </c>
      <c r="E105" s="31">
        <f>IF($A105="","",IF(Builders!$F102="","MISSING","OK"))</f>
        <v/>
      </c>
      <c r="F105" s="31">
        <f>IF($A105="","",IF(COUNTIFS(Contacts!$A$2:$A$501,$A105,Contacts!$B$2:$B$501,"*Owner*")+COUNTIFS(Contacts!$A$2:$A$501,$A105,Contacts!$F$2:$F$501,"*owner*")=0,"MISSING","OK"))</f>
        <v/>
      </c>
      <c r="G105" s="31">
        <f>IF($A105="","",IF(COUNTIFS(Contacts!$A$2:$A$501,$A105,Contacts!$B$2:$B$501,"*Listing*")+COUNTIFS(Contacts!$A$2:$A$501,$A105,Contacts!$F$2:$F$501,"*listing agent*")=0,"MISSING","OK"))</f>
        <v/>
      </c>
      <c r="H105" s="31">
        <f>IF($A105="","",IF(COUNTIFS(Contacts!$A$2:$A$501,$A105,Contacts!$B$2:$B$501,"*Builder Rep*")+COUNTIFS(Contacts!$A$2:$A$501,$A105,Contacts!$B$2:$B$501,"Sales*")=0,"MISSING","OK"))</f>
        <v/>
      </c>
      <c r="I105" s="31">
        <f>IF($A105="","",IF(COUNTIFS(Contacts!$A$2:$A$501,$A105,Contacts!$B$2:$B$501,"*Docs*")+COUNTIFS(Contacts!$A$2:$A$501,$A105,Contacts!$F$2:$F$501,"*builder doc*")=0,"MISSING","OK"))</f>
        <v/>
      </c>
      <c r="J105" s="31">
        <f>IF($A105="","",IF(COUNTIFS(Contacts!$A$2:$A$501,$A105,Contacts!$B$2:$B$501,"*Appraisal*")+COUNTIFS(Contacts!$A$2:$A$501,$A105,Contacts!$F$2:$F$501,"*apprais*")=0,"MISSING","OK"))</f>
        <v/>
      </c>
      <c r="K105" s="31">
        <f>IF($A105="","",IF(Builders!$B102="","MISSING",IF(COUNTIFS('Title Contacts'!$A$2:$A$601,Builders!$B102,'Title Contacts'!$B$2:$B$601,"*agent*",'Title Contacts'!$C$2:$C$601,"&lt;&gt;")&gt;0,"OK","MISSING")))</f>
        <v/>
      </c>
      <c r="L105" s="31">
        <f>IF($A105="","",IF(Builders!$B102="","MISSING",IF(COUNTIFS('Title Contacts'!$A$2:$A$601,Builders!$B102,'Title Contacts'!$B$2:$B$601,"*assistant*",'Title Contacts'!$C$2:$C$601,"&lt;&gt;")&gt;0,"OK","MISSING")))</f>
        <v/>
      </c>
      <c r="M105" s="31">
        <f>IF($A105="","",COUNTIF(B105:L105,"MISSING"))</f>
        <v/>
      </c>
    </row>
    <row r="106">
      <c r="A106" s="18">
        <f>IF(Builders!$A103="","",Builders!$A103)</f>
        <v/>
      </c>
      <c r="B106" s="31">
        <f>IF($A106="","",IF(Builders!$B103="","MISSING","OK"))</f>
        <v/>
      </c>
      <c r="C106" s="31">
        <f>IF($A106="","",IF(Builders!$C103="","MISSING","OK"))</f>
        <v/>
      </c>
      <c r="D106" s="31">
        <f>IF($A106="","",IF(Builders!$D103="","MISSING","OK"))</f>
        <v/>
      </c>
      <c r="E106" s="31">
        <f>IF($A106="","",IF(Builders!$F103="","MISSING","OK"))</f>
        <v/>
      </c>
      <c r="F106" s="31">
        <f>IF($A106="","",IF(COUNTIFS(Contacts!$A$2:$A$501,$A106,Contacts!$B$2:$B$501,"*Owner*")+COUNTIFS(Contacts!$A$2:$A$501,$A106,Contacts!$F$2:$F$501,"*owner*")=0,"MISSING","OK"))</f>
        <v/>
      </c>
      <c r="G106" s="31">
        <f>IF($A106="","",IF(COUNTIFS(Contacts!$A$2:$A$501,$A106,Contacts!$B$2:$B$501,"*Listing*")+COUNTIFS(Contacts!$A$2:$A$501,$A106,Contacts!$F$2:$F$501,"*listing agent*")=0,"MISSING","OK"))</f>
        <v/>
      </c>
      <c r="H106" s="31">
        <f>IF($A106="","",IF(COUNTIFS(Contacts!$A$2:$A$501,$A106,Contacts!$B$2:$B$501,"*Builder Rep*")+COUNTIFS(Contacts!$A$2:$A$501,$A106,Contacts!$B$2:$B$501,"Sales*")=0,"MISSING","OK"))</f>
        <v/>
      </c>
      <c r="I106" s="31">
        <f>IF($A106="","",IF(COUNTIFS(Contacts!$A$2:$A$501,$A106,Contacts!$B$2:$B$501,"*Docs*")+COUNTIFS(Contacts!$A$2:$A$501,$A106,Contacts!$F$2:$F$501,"*builder doc*")=0,"MISSING","OK"))</f>
        <v/>
      </c>
      <c r="J106" s="31">
        <f>IF($A106="","",IF(COUNTIFS(Contacts!$A$2:$A$501,$A106,Contacts!$B$2:$B$501,"*Appraisal*")+COUNTIFS(Contacts!$A$2:$A$501,$A106,Contacts!$F$2:$F$501,"*apprais*")=0,"MISSING","OK"))</f>
        <v/>
      </c>
      <c r="K106" s="31">
        <f>IF($A106="","",IF(Builders!$B103="","MISSING",IF(COUNTIFS('Title Contacts'!$A$2:$A$601,Builders!$B103,'Title Contacts'!$B$2:$B$601,"*agent*",'Title Contacts'!$C$2:$C$601,"&lt;&gt;")&gt;0,"OK","MISSING")))</f>
        <v/>
      </c>
      <c r="L106" s="31">
        <f>IF($A106="","",IF(Builders!$B103="","MISSING",IF(COUNTIFS('Title Contacts'!$A$2:$A$601,Builders!$B103,'Title Contacts'!$B$2:$B$601,"*assistant*",'Title Contacts'!$C$2:$C$601,"&lt;&gt;")&gt;0,"OK","MISSING")))</f>
        <v/>
      </c>
      <c r="M106" s="31">
        <f>IF($A106="","",COUNTIF(B106:L106,"MISSING"))</f>
        <v/>
      </c>
    </row>
    <row r="107">
      <c r="A107" s="18">
        <f>IF(Builders!$A104="","",Builders!$A104)</f>
        <v/>
      </c>
      <c r="B107" s="31">
        <f>IF($A107="","",IF(Builders!$B104="","MISSING","OK"))</f>
        <v/>
      </c>
      <c r="C107" s="31">
        <f>IF($A107="","",IF(Builders!$C104="","MISSING","OK"))</f>
        <v/>
      </c>
      <c r="D107" s="31">
        <f>IF($A107="","",IF(Builders!$D104="","MISSING","OK"))</f>
        <v/>
      </c>
      <c r="E107" s="31">
        <f>IF($A107="","",IF(Builders!$F104="","MISSING","OK"))</f>
        <v/>
      </c>
      <c r="F107" s="31">
        <f>IF($A107="","",IF(COUNTIFS(Contacts!$A$2:$A$501,$A107,Contacts!$B$2:$B$501,"*Owner*")+COUNTIFS(Contacts!$A$2:$A$501,$A107,Contacts!$F$2:$F$501,"*owner*")=0,"MISSING","OK"))</f>
        <v/>
      </c>
      <c r="G107" s="31">
        <f>IF($A107="","",IF(COUNTIFS(Contacts!$A$2:$A$501,$A107,Contacts!$B$2:$B$501,"*Listing*")+COUNTIFS(Contacts!$A$2:$A$501,$A107,Contacts!$F$2:$F$501,"*listing agent*")=0,"MISSING","OK"))</f>
        <v/>
      </c>
      <c r="H107" s="31">
        <f>IF($A107="","",IF(COUNTIFS(Contacts!$A$2:$A$501,$A107,Contacts!$B$2:$B$501,"*Builder Rep*")+COUNTIFS(Contacts!$A$2:$A$501,$A107,Contacts!$B$2:$B$501,"Sales*")=0,"MISSING","OK"))</f>
        <v/>
      </c>
      <c r="I107" s="31">
        <f>IF($A107="","",IF(COUNTIFS(Contacts!$A$2:$A$501,$A107,Contacts!$B$2:$B$501,"*Docs*")+COUNTIFS(Contacts!$A$2:$A$501,$A107,Contacts!$F$2:$F$501,"*builder doc*")=0,"MISSING","OK"))</f>
        <v/>
      </c>
      <c r="J107" s="31">
        <f>IF($A107="","",IF(COUNTIFS(Contacts!$A$2:$A$501,$A107,Contacts!$B$2:$B$501,"*Appraisal*")+COUNTIFS(Contacts!$A$2:$A$501,$A107,Contacts!$F$2:$F$501,"*apprais*")=0,"MISSING","OK"))</f>
        <v/>
      </c>
      <c r="K107" s="31">
        <f>IF($A107="","",IF(Builders!$B104="","MISSING",IF(COUNTIFS('Title Contacts'!$A$2:$A$601,Builders!$B104,'Title Contacts'!$B$2:$B$601,"*agent*",'Title Contacts'!$C$2:$C$601,"&lt;&gt;")&gt;0,"OK","MISSING")))</f>
        <v/>
      </c>
      <c r="L107" s="31">
        <f>IF($A107="","",IF(Builders!$B104="","MISSING",IF(COUNTIFS('Title Contacts'!$A$2:$A$601,Builders!$B104,'Title Contacts'!$B$2:$B$601,"*assistant*",'Title Contacts'!$C$2:$C$601,"&lt;&gt;")&gt;0,"OK","MISSING")))</f>
        <v/>
      </c>
      <c r="M107" s="31">
        <f>IF($A107="","",COUNTIF(B107:L107,"MISSING"))</f>
        <v/>
      </c>
    </row>
    <row r="108">
      <c r="A108" s="18">
        <f>IF(Builders!$A105="","",Builders!$A105)</f>
        <v/>
      </c>
      <c r="B108" s="31">
        <f>IF($A108="","",IF(Builders!$B105="","MISSING","OK"))</f>
        <v/>
      </c>
      <c r="C108" s="31">
        <f>IF($A108="","",IF(Builders!$C105="","MISSING","OK"))</f>
        <v/>
      </c>
      <c r="D108" s="31">
        <f>IF($A108="","",IF(Builders!$D105="","MISSING","OK"))</f>
        <v/>
      </c>
      <c r="E108" s="31">
        <f>IF($A108="","",IF(Builders!$F105="","MISSING","OK"))</f>
        <v/>
      </c>
      <c r="F108" s="31">
        <f>IF($A108="","",IF(COUNTIFS(Contacts!$A$2:$A$501,$A108,Contacts!$B$2:$B$501,"*Owner*")+COUNTIFS(Contacts!$A$2:$A$501,$A108,Contacts!$F$2:$F$501,"*owner*")=0,"MISSING","OK"))</f>
        <v/>
      </c>
      <c r="G108" s="31">
        <f>IF($A108="","",IF(COUNTIFS(Contacts!$A$2:$A$501,$A108,Contacts!$B$2:$B$501,"*Listing*")+COUNTIFS(Contacts!$A$2:$A$501,$A108,Contacts!$F$2:$F$501,"*listing agent*")=0,"MISSING","OK"))</f>
        <v/>
      </c>
      <c r="H108" s="31">
        <f>IF($A108="","",IF(COUNTIFS(Contacts!$A$2:$A$501,$A108,Contacts!$B$2:$B$501,"*Builder Rep*")+COUNTIFS(Contacts!$A$2:$A$501,$A108,Contacts!$B$2:$B$501,"Sales*")=0,"MISSING","OK"))</f>
        <v/>
      </c>
      <c r="I108" s="31">
        <f>IF($A108="","",IF(COUNTIFS(Contacts!$A$2:$A$501,$A108,Contacts!$B$2:$B$501,"*Docs*")+COUNTIFS(Contacts!$A$2:$A$501,$A108,Contacts!$F$2:$F$501,"*builder doc*")=0,"MISSING","OK"))</f>
        <v/>
      </c>
      <c r="J108" s="31">
        <f>IF($A108="","",IF(COUNTIFS(Contacts!$A$2:$A$501,$A108,Contacts!$B$2:$B$501,"*Appraisal*")+COUNTIFS(Contacts!$A$2:$A$501,$A108,Contacts!$F$2:$F$501,"*apprais*")=0,"MISSING","OK"))</f>
        <v/>
      </c>
      <c r="K108" s="31">
        <f>IF($A108="","",IF(Builders!$B105="","MISSING",IF(COUNTIFS('Title Contacts'!$A$2:$A$601,Builders!$B105,'Title Contacts'!$B$2:$B$601,"*agent*",'Title Contacts'!$C$2:$C$601,"&lt;&gt;")&gt;0,"OK","MISSING")))</f>
        <v/>
      </c>
      <c r="L108" s="31">
        <f>IF($A108="","",IF(Builders!$B105="","MISSING",IF(COUNTIFS('Title Contacts'!$A$2:$A$601,Builders!$B105,'Title Contacts'!$B$2:$B$601,"*assistant*",'Title Contacts'!$C$2:$C$601,"&lt;&gt;")&gt;0,"OK","MISSING")))</f>
        <v/>
      </c>
      <c r="M108" s="31">
        <f>IF($A108="","",COUNTIF(B108:L108,"MISSING"))</f>
        <v/>
      </c>
    </row>
    <row r="109">
      <c r="A109" s="18">
        <f>IF(Builders!$A106="","",Builders!$A106)</f>
        <v/>
      </c>
      <c r="B109" s="31">
        <f>IF($A109="","",IF(Builders!$B106="","MISSING","OK"))</f>
        <v/>
      </c>
      <c r="C109" s="31">
        <f>IF($A109="","",IF(Builders!$C106="","MISSING","OK"))</f>
        <v/>
      </c>
      <c r="D109" s="31">
        <f>IF($A109="","",IF(Builders!$D106="","MISSING","OK"))</f>
        <v/>
      </c>
      <c r="E109" s="31">
        <f>IF($A109="","",IF(Builders!$F106="","MISSING","OK"))</f>
        <v/>
      </c>
      <c r="F109" s="31">
        <f>IF($A109="","",IF(COUNTIFS(Contacts!$A$2:$A$501,$A109,Contacts!$B$2:$B$501,"*Owner*")+COUNTIFS(Contacts!$A$2:$A$501,$A109,Contacts!$F$2:$F$501,"*owner*")=0,"MISSING","OK"))</f>
        <v/>
      </c>
      <c r="G109" s="31">
        <f>IF($A109="","",IF(COUNTIFS(Contacts!$A$2:$A$501,$A109,Contacts!$B$2:$B$501,"*Listing*")+COUNTIFS(Contacts!$A$2:$A$501,$A109,Contacts!$F$2:$F$501,"*listing agent*")=0,"MISSING","OK"))</f>
        <v/>
      </c>
      <c r="H109" s="31">
        <f>IF($A109="","",IF(COUNTIFS(Contacts!$A$2:$A$501,$A109,Contacts!$B$2:$B$501,"*Builder Rep*")+COUNTIFS(Contacts!$A$2:$A$501,$A109,Contacts!$B$2:$B$501,"Sales*")=0,"MISSING","OK"))</f>
        <v/>
      </c>
      <c r="I109" s="31">
        <f>IF($A109="","",IF(COUNTIFS(Contacts!$A$2:$A$501,$A109,Contacts!$B$2:$B$501,"*Docs*")+COUNTIFS(Contacts!$A$2:$A$501,$A109,Contacts!$F$2:$F$501,"*builder doc*")=0,"MISSING","OK"))</f>
        <v/>
      </c>
      <c r="J109" s="31">
        <f>IF($A109="","",IF(COUNTIFS(Contacts!$A$2:$A$501,$A109,Contacts!$B$2:$B$501,"*Appraisal*")+COUNTIFS(Contacts!$A$2:$A$501,$A109,Contacts!$F$2:$F$501,"*apprais*")=0,"MISSING","OK"))</f>
        <v/>
      </c>
      <c r="K109" s="31">
        <f>IF($A109="","",IF(Builders!$B106="","MISSING",IF(COUNTIFS('Title Contacts'!$A$2:$A$601,Builders!$B106,'Title Contacts'!$B$2:$B$601,"*agent*",'Title Contacts'!$C$2:$C$601,"&lt;&gt;")&gt;0,"OK","MISSING")))</f>
        <v/>
      </c>
      <c r="L109" s="31">
        <f>IF($A109="","",IF(Builders!$B106="","MISSING",IF(COUNTIFS('Title Contacts'!$A$2:$A$601,Builders!$B106,'Title Contacts'!$B$2:$B$601,"*assistant*",'Title Contacts'!$C$2:$C$601,"&lt;&gt;")&gt;0,"OK","MISSING")))</f>
        <v/>
      </c>
      <c r="M109" s="31">
        <f>IF($A109="","",COUNTIF(B109:L109,"MISSING"))</f>
        <v/>
      </c>
    </row>
    <row r="110">
      <c r="A110" s="18">
        <f>IF(Builders!$A107="","",Builders!$A107)</f>
        <v/>
      </c>
      <c r="B110" s="31">
        <f>IF($A110="","",IF(Builders!$B107="","MISSING","OK"))</f>
        <v/>
      </c>
      <c r="C110" s="31">
        <f>IF($A110="","",IF(Builders!$C107="","MISSING","OK"))</f>
        <v/>
      </c>
      <c r="D110" s="31">
        <f>IF($A110="","",IF(Builders!$D107="","MISSING","OK"))</f>
        <v/>
      </c>
      <c r="E110" s="31">
        <f>IF($A110="","",IF(Builders!$F107="","MISSING","OK"))</f>
        <v/>
      </c>
      <c r="F110" s="31">
        <f>IF($A110="","",IF(COUNTIFS(Contacts!$A$2:$A$501,$A110,Contacts!$B$2:$B$501,"*Owner*")+COUNTIFS(Contacts!$A$2:$A$501,$A110,Contacts!$F$2:$F$501,"*owner*")=0,"MISSING","OK"))</f>
        <v/>
      </c>
      <c r="G110" s="31">
        <f>IF($A110="","",IF(COUNTIFS(Contacts!$A$2:$A$501,$A110,Contacts!$B$2:$B$501,"*Listing*")+COUNTIFS(Contacts!$A$2:$A$501,$A110,Contacts!$F$2:$F$501,"*listing agent*")=0,"MISSING","OK"))</f>
        <v/>
      </c>
      <c r="H110" s="31">
        <f>IF($A110="","",IF(COUNTIFS(Contacts!$A$2:$A$501,$A110,Contacts!$B$2:$B$501,"*Builder Rep*")+COUNTIFS(Contacts!$A$2:$A$501,$A110,Contacts!$B$2:$B$501,"Sales*")=0,"MISSING","OK"))</f>
        <v/>
      </c>
      <c r="I110" s="31">
        <f>IF($A110="","",IF(COUNTIFS(Contacts!$A$2:$A$501,$A110,Contacts!$B$2:$B$501,"*Docs*")+COUNTIFS(Contacts!$A$2:$A$501,$A110,Contacts!$F$2:$F$501,"*builder doc*")=0,"MISSING","OK"))</f>
        <v/>
      </c>
      <c r="J110" s="31">
        <f>IF($A110="","",IF(COUNTIFS(Contacts!$A$2:$A$501,$A110,Contacts!$B$2:$B$501,"*Appraisal*")+COUNTIFS(Contacts!$A$2:$A$501,$A110,Contacts!$F$2:$F$501,"*apprais*")=0,"MISSING","OK"))</f>
        <v/>
      </c>
      <c r="K110" s="31">
        <f>IF($A110="","",IF(Builders!$B107="","MISSING",IF(COUNTIFS('Title Contacts'!$A$2:$A$601,Builders!$B107,'Title Contacts'!$B$2:$B$601,"*agent*",'Title Contacts'!$C$2:$C$601,"&lt;&gt;")&gt;0,"OK","MISSING")))</f>
        <v/>
      </c>
      <c r="L110" s="31">
        <f>IF($A110="","",IF(Builders!$B107="","MISSING",IF(COUNTIFS('Title Contacts'!$A$2:$A$601,Builders!$B107,'Title Contacts'!$B$2:$B$601,"*assistant*",'Title Contacts'!$C$2:$C$601,"&lt;&gt;")&gt;0,"OK","MISSING")))</f>
        <v/>
      </c>
      <c r="M110" s="31">
        <f>IF($A110="","",COUNTIF(B110:L110,"MISSING"))</f>
        <v/>
      </c>
    </row>
    <row r="111">
      <c r="A111" s="18">
        <f>IF(Builders!$A108="","",Builders!$A108)</f>
        <v/>
      </c>
      <c r="B111" s="31">
        <f>IF($A111="","",IF(Builders!$B108="","MISSING","OK"))</f>
        <v/>
      </c>
      <c r="C111" s="31">
        <f>IF($A111="","",IF(Builders!$C108="","MISSING","OK"))</f>
        <v/>
      </c>
      <c r="D111" s="31">
        <f>IF($A111="","",IF(Builders!$D108="","MISSING","OK"))</f>
        <v/>
      </c>
      <c r="E111" s="31">
        <f>IF($A111="","",IF(Builders!$F108="","MISSING","OK"))</f>
        <v/>
      </c>
      <c r="F111" s="31">
        <f>IF($A111="","",IF(COUNTIFS(Contacts!$A$2:$A$501,$A111,Contacts!$B$2:$B$501,"*Owner*")+COUNTIFS(Contacts!$A$2:$A$501,$A111,Contacts!$F$2:$F$501,"*owner*")=0,"MISSING","OK"))</f>
        <v/>
      </c>
      <c r="G111" s="31">
        <f>IF($A111="","",IF(COUNTIFS(Contacts!$A$2:$A$501,$A111,Contacts!$B$2:$B$501,"*Listing*")+COUNTIFS(Contacts!$A$2:$A$501,$A111,Contacts!$F$2:$F$501,"*listing agent*")=0,"MISSING","OK"))</f>
        <v/>
      </c>
      <c r="H111" s="31">
        <f>IF($A111="","",IF(COUNTIFS(Contacts!$A$2:$A$501,$A111,Contacts!$B$2:$B$501,"*Builder Rep*")+COUNTIFS(Contacts!$A$2:$A$501,$A111,Contacts!$B$2:$B$501,"Sales*")=0,"MISSING","OK"))</f>
        <v/>
      </c>
      <c r="I111" s="31">
        <f>IF($A111="","",IF(COUNTIFS(Contacts!$A$2:$A$501,$A111,Contacts!$B$2:$B$501,"*Docs*")+COUNTIFS(Contacts!$A$2:$A$501,$A111,Contacts!$F$2:$F$501,"*builder doc*")=0,"MISSING","OK"))</f>
        <v/>
      </c>
      <c r="J111" s="31">
        <f>IF($A111="","",IF(COUNTIFS(Contacts!$A$2:$A$501,$A111,Contacts!$B$2:$B$501,"*Appraisal*")+COUNTIFS(Contacts!$A$2:$A$501,$A111,Contacts!$F$2:$F$501,"*apprais*")=0,"MISSING","OK"))</f>
        <v/>
      </c>
      <c r="K111" s="31">
        <f>IF($A111="","",IF(Builders!$B108="","MISSING",IF(COUNTIFS('Title Contacts'!$A$2:$A$601,Builders!$B108,'Title Contacts'!$B$2:$B$601,"*agent*",'Title Contacts'!$C$2:$C$601,"&lt;&gt;")&gt;0,"OK","MISSING")))</f>
        <v/>
      </c>
      <c r="L111" s="31">
        <f>IF($A111="","",IF(Builders!$B108="","MISSING",IF(COUNTIFS('Title Contacts'!$A$2:$A$601,Builders!$B108,'Title Contacts'!$B$2:$B$601,"*assistant*",'Title Contacts'!$C$2:$C$601,"&lt;&gt;")&gt;0,"OK","MISSING")))</f>
        <v/>
      </c>
      <c r="M111" s="31">
        <f>IF($A111="","",COUNTIF(B111:L111,"MISSING"))</f>
        <v/>
      </c>
    </row>
    <row r="112">
      <c r="A112" s="18">
        <f>IF(Builders!$A109="","",Builders!$A109)</f>
        <v/>
      </c>
      <c r="B112" s="31">
        <f>IF($A112="","",IF(Builders!$B109="","MISSING","OK"))</f>
        <v/>
      </c>
      <c r="C112" s="31">
        <f>IF($A112="","",IF(Builders!$C109="","MISSING","OK"))</f>
        <v/>
      </c>
      <c r="D112" s="31">
        <f>IF($A112="","",IF(Builders!$D109="","MISSING","OK"))</f>
        <v/>
      </c>
      <c r="E112" s="31">
        <f>IF($A112="","",IF(Builders!$F109="","MISSING","OK"))</f>
        <v/>
      </c>
      <c r="F112" s="31">
        <f>IF($A112="","",IF(COUNTIFS(Contacts!$A$2:$A$501,$A112,Contacts!$B$2:$B$501,"*Owner*")+COUNTIFS(Contacts!$A$2:$A$501,$A112,Contacts!$F$2:$F$501,"*owner*")=0,"MISSING","OK"))</f>
        <v/>
      </c>
      <c r="G112" s="31">
        <f>IF($A112="","",IF(COUNTIFS(Contacts!$A$2:$A$501,$A112,Contacts!$B$2:$B$501,"*Listing*")+COUNTIFS(Contacts!$A$2:$A$501,$A112,Contacts!$F$2:$F$501,"*listing agent*")=0,"MISSING","OK"))</f>
        <v/>
      </c>
      <c r="H112" s="31">
        <f>IF($A112="","",IF(COUNTIFS(Contacts!$A$2:$A$501,$A112,Contacts!$B$2:$B$501,"*Builder Rep*")+COUNTIFS(Contacts!$A$2:$A$501,$A112,Contacts!$B$2:$B$501,"Sales*")=0,"MISSING","OK"))</f>
        <v/>
      </c>
      <c r="I112" s="31">
        <f>IF($A112="","",IF(COUNTIFS(Contacts!$A$2:$A$501,$A112,Contacts!$B$2:$B$501,"*Docs*")+COUNTIFS(Contacts!$A$2:$A$501,$A112,Contacts!$F$2:$F$501,"*builder doc*")=0,"MISSING","OK"))</f>
        <v/>
      </c>
      <c r="J112" s="31">
        <f>IF($A112="","",IF(COUNTIFS(Contacts!$A$2:$A$501,$A112,Contacts!$B$2:$B$501,"*Appraisal*")+COUNTIFS(Contacts!$A$2:$A$501,$A112,Contacts!$F$2:$F$501,"*apprais*")=0,"MISSING","OK"))</f>
        <v/>
      </c>
      <c r="K112" s="31">
        <f>IF($A112="","",IF(Builders!$B109="","MISSING",IF(COUNTIFS('Title Contacts'!$A$2:$A$601,Builders!$B109,'Title Contacts'!$B$2:$B$601,"*agent*",'Title Contacts'!$C$2:$C$601,"&lt;&gt;")&gt;0,"OK","MISSING")))</f>
        <v/>
      </c>
      <c r="L112" s="31">
        <f>IF($A112="","",IF(Builders!$B109="","MISSING",IF(COUNTIFS('Title Contacts'!$A$2:$A$601,Builders!$B109,'Title Contacts'!$B$2:$B$601,"*assistant*",'Title Contacts'!$C$2:$C$601,"&lt;&gt;")&gt;0,"OK","MISSING")))</f>
        <v/>
      </c>
      <c r="M112" s="31">
        <f>IF($A112="","",COUNTIF(B112:L112,"MISSING"))</f>
        <v/>
      </c>
    </row>
    <row r="113">
      <c r="A113" s="18">
        <f>IF(Builders!$A110="","",Builders!$A110)</f>
        <v/>
      </c>
      <c r="B113" s="31">
        <f>IF($A113="","",IF(Builders!$B110="","MISSING","OK"))</f>
        <v/>
      </c>
      <c r="C113" s="31">
        <f>IF($A113="","",IF(Builders!$C110="","MISSING","OK"))</f>
        <v/>
      </c>
      <c r="D113" s="31">
        <f>IF($A113="","",IF(Builders!$D110="","MISSING","OK"))</f>
        <v/>
      </c>
      <c r="E113" s="31">
        <f>IF($A113="","",IF(Builders!$F110="","MISSING","OK"))</f>
        <v/>
      </c>
      <c r="F113" s="31">
        <f>IF($A113="","",IF(COUNTIFS(Contacts!$A$2:$A$501,$A113,Contacts!$B$2:$B$501,"*Owner*")+COUNTIFS(Contacts!$A$2:$A$501,$A113,Contacts!$F$2:$F$501,"*owner*")=0,"MISSING","OK"))</f>
        <v/>
      </c>
      <c r="G113" s="31">
        <f>IF($A113="","",IF(COUNTIFS(Contacts!$A$2:$A$501,$A113,Contacts!$B$2:$B$501,"*Listing*")+COUNTIFS(Contacts!$A$2:$A$501,$A113,Contacts!$F$2:$F$501,"*listing agent*")=0,"MISSING","OK"))</f>
        <v/>
      </c>
      <c r="H113" s="31">
        <f>IF($A113="","",IF(COUNTIFS(Contacts!$A$2:$A$501,$A113,Contacts!$B$2:$B$501,"*Builder Rep*")+COUNTIFS(Contacts!$A$2:$A$501,$A113,Contacts!$B$2:$B$501,"Sales*")=0,"MISSING","OK"))</f>
        <v/>
      </c>
      <c r="I113" s="31">
        <f>IF($A113="","",IF(COUNTIFS(Contacts!$A$2:$A$501,$A113,Contacts!$B$2:$B$501,"*Docs*")+COUNTIFS(Contacts!$A$2:$A$501,$A113,Contacts!$F$2:$F$501,"*builder doc*")=0,"MISSING","OK"))</f>
        <v/>
      </c>
      <c r="J113" s="31">
        <f>IF($A113="","",IF(COUNTIFS(Contacts!$A$2:$A$501,$A113,Contacts!$B$2:$B$501,"*Appraisal*")+COUNTIFS(Contacts!$A$2:$A$501,$A113,Contacts!$F$2:$F$501,"*apprais*")=0,"MISSING","OK"))</f>
        <v/>
      </c>
      <c r="K113" s="31">
        <f>IF($A113="","",IF(Builders!$B110="","MISSING",IF(COUNTIFS('Title Contacts'!$A$2:$A$601,Builders!$B110,'Title Contacts'!$B$2:$B$601,"*agent*",'Title Contacts'!$C$2:$C$601,"&lt;&gt;")&gt;0,"OK","MISSING")))</f>
        <v/>
      </c>
      <c r="L113" s="31">
        <f>IF($A113="","",IF(Builders!$B110="","MISSING",IF(COUNTIFS('Title Contacts'!$A$2:$A$601,Builders!$B110,'Title Contacts'!$B$2:$B$601,"*assistant*",'Title Contacts'!$C$2:$C$601,"&lt;&gt;")&gt;0,"OK","MISSING")))</f>
        <v/>
      </c>
      <c r="M113" s="31">
        <f>IF($A113="","",COUNTIF(B113:L113,"MISSING"))</f>
        <v/>
      </c>
    </row>
    <row r="114">
      <c r="A114" s="18">
        <f>IF(Builders!$A111="","",Builders!$A111)</f>
        <v/>
      </c>
      <c r="B114" s="31">
        <f>IF($A114="","",IF(Builders!$B111="","MISSING","OK"))</f>
        <v/>
      </c>
      <c r="C114" s="31">
        <f>IF($A114="","",IF(Builders!$C111="","MISSING","OK"))</f>
        <v/>
      </c>
      <c r="D114" s="31">
        <f>IF($A114="","",IF(Builders!$D111="","MISSING","OK"))</f>
        <v/>
      </c>
      <c r="E114" s="31">
        <f>IF($A114="","",IF(Builders!$F111="","MISSING","OK"))</f>
        <v/>
      </c>
      <c r="F114" s="31">
        <f>IF($A114="","",IF(COUNTIFS(Contacts!$A$2:$A$501,$A114,Contacts!$B$2:$B$501,"*Owner*")+COUNTIFS(Contacts!$A$2:$A$501,$A114,Contacts!$F$2:$F$501,"*owner*")=0,"MISSING","OK"))</f>
        <v/>
      </c>
      <c r="G114" s="31">
        <f>IF($A114="","",IF(COUNTIFS(Contacts!$A$2:$A$501,$A114,Contacts!$B$2:$B$501,"*Listing*")+COUNTIFS(Contacts!$A$2:$A$501,$A114,Contacts!$F$2:$F$501,"*listing agent*")=0,"MISSING","OK"))</f>
        <v/>
      </c>
      <c r="H114" s="31">
        <f>IF($A114="","",IF(COUNTIFS(Contacts!$A$2:$A$501,$A114,Contacts!$B$2:$B$501,"*Builder Rep*")+COUNTIFS(Contacts!$A$2:$A$501,$A114,Contacts!$B$2:$B$501,"Sales*")=0,"MISSING","OK"))</f>
        <v/>
      </c>
      <c r="I114" s="31">
        <f>IF($A114="","",IF(COUNTIFS(Contacts!$A$2:$A$501,$A114,Contacts!$B$2:$B$501,"*Docs*")+COUNTIFS(Contacts!$A$2:$A$501,$A114,Contacts!$F$2:$F$501,"*builder doc*")=0,"MISSING","OK"))</f>
        <v/>
      </c>
      <c r="J114" s="31">
        <f>IF($A114="","",IF(COUNTIFS(Contacts!$A$2:$A$501,$A114,Contacts!$B$2:$B$501,"*Appraisal*")+COUNTIFS(Contacts!$A$2:$A$501,$A114,Contacts!$F$2:$F$501,"*apprais*")=0,"MISSING","OK"))</f>
        <v/>
      </c>
      <c r="K114" s="31">
        <f>IF($A114="","",IF(Builders!$B111="","MISSING",IF(COUNTIFS('Title Contacts'!$A$2:$A$601,Builders!$B111,'Title Contacts'!$B$2:$B$601,"*agent*",'Title Contacts'!$C$2:$C$601,"&lt;&gt;")&gt;0,"OK","MISSING")))</f>
        <v/>
      </c>
      <c r="L114" s="31">
        <f>IF($A114="","",IF(Builders!$B111="","MISSING",IF(COUNTIFS('Title Contacts'!$A$2:$A$601,Builders!$B111,'Title Contacts'!$B$2:$B$601,"*assistant*",'Title Contacts'!$C$2:$C$601,"&lt;&gt;")&gt;0,"OK","MISSING")))</f>
        <v/>
      </c>
      <c r="M114" s="31">
        <f>IF($A114="","",COUNTIF(B114:L114,"MISSING"))</f>
        <v/>
      </c>
    </row>
    <row r="115">
      <c r="A115" s="18">
        <f>IF(Builders!$A112="","",Builders!$A112)</f>
        <v/>
      </c>
      <c r="B115" s="31">
        <f>IF($A115="","",IF(Builders!$B112="","MISSING","OK"))</f>
        <v/>
      </c>
      <c r="C115" s="31">
        <f>IF($A115="","",IF(Builders!$C112="","MISSING","OK"))</f>
        <v/>
      </c>
      <c r="D115" s="31">
        <f>IF($A115="","",IF(Builders!$D112="","MISSING","OK"))</f>
        <v/>
      </c>
      <c r="E115" s="31">
        <f>IF($A115="","",IF(Builders!$F112="","MISSING","OK"))</f>
        <v/>
      </c>
      <c r="F115" s="31">
        <f>IF($A115="","",IF(COUNTIFS(Contacts!$A$2:$A$501,$A115,Contacts!$B$2:$B$501,"*Owner*")+COUNTIFS(Contacts!$A$2:$A$501,$A115,Contacts!$F$2:$F$501,"*owner*")=0,"MISSING","OK"))</f>
        <v/>
      </c>
      <c r="G115" s="31">
        <f>IF($A115="","",IF(COUNTIFS(Contacts!$A$2:$A$501,$A115,Contacts!$B$2:$B$501,"*Listing*")+COUNTIFS(Contacts!$A$2:$A$501,$A115,Contacts!$F$2:$F$501,"*listing agent*")=0,"MISSING","OK"))</f>
        <v/>
      </c>
      <c r="H115" s="31">
        <f>IF($A115="","",IF(COUNTIFS(Contacts!$A$2:$A$501,$A115,Contacts!$B$2:$B$501,"*Builder Rep*")+COUNTIFS(Contacts!$A$2:$A$501,$A115,Contacts!$B$2:$B$501,"Sales*")=0,"MISSING","OK"))</f>
        <v/>
      </c>
      <c r="I115" s="31">
        <f>IF($A115="","",IF(COUNTIFS(Contacts!$A$2:$A$501,$A115,Contacts!$B$2:$B$501,"*Docs*")+COUNTIFS(Contacts!$A$2:$A$501,$A115,Contacts!$F$2:$F$501,"*builder doc*")=0,"MISSING","OK"))</f>
        <v/>
      </c>
      <c r="J115" s="31">
        <f>IF($A115="","",IF(COUNTIFS(Contacts!$A$2:$A$501,$A115,Contacts!$B$2:$B$501,"*Appraisal*")+COUNTIFS(Contacts!$A$2:$A$501,$A115,Contacts!$F$2:$F$501,"*apprais*")=0,"MISSING","OK"))</f>
        <v/>
      </c>
      <c r="K115" s="31">
        <f>IF($A115="","",IF(Builders!$B112="","MISSING",IF(COUNTIFS('Title Contacts'!$A$2:$A$601,Builders!$B112,'Title Contacts'!$B$2:$B$601,"*agent*",'Title Contacts'!$C$2:$C$601,"&lt;&gt;")&gt;0,"OK","MISSING")))</f>
        <v/>
      </c>
      <c r="L115" s="31">
        <f>IF($A115="","",IF(Builders!$B112="","MISSING",IF(COUNTIFS('Title Contacts'!$A$2:$A$601,Builders!$B112,'Title Contacts'!$B$2:$B$601,"*assistant*",'Title Contacts'!$C$2:$C$601,"&lt;&gt;")&gt;0,"OK","MISSING")))</f>
        <v/>
      </c>
      <c r="M115" s="31">
        <f>IF($A115="","",COUNTIF(B115:L115,"MISSING"))</f>
        <v/>
      </c>
    </row>
    <row r="116">
      <c r="A116" s="18">
        <f>IF(Builders!$A113="","",Builders!$A113)</f>
        <v/>
      </c>
      <c r="B116" s="31">
        <f>IF($A116="","",IF(Builders!$B113="","MISSING","OK"))</f>
        <v/>
      </c>
      <c r="C116" s="31">
        <f>IF($A116="","",IF(Builders!$C113="","MISSING","OK"))</f>
        <v/>
      </c>
      <c r="D116" s="31">
        <f>IF($A116="","",IF(Builders!$D113="","MISSING","OK"))</f>
        <v/>
      </c>
      <c r="E116" s="31">
        <f>IF($A116="","",IF(Builders!$F113="","MISSING","OK"))</f>
        <v/>
      </c>
      <c r="F116" s="31">
        <f>IF($A116="","",IF(COUNTIFS(Contacts!$A$2:$A$501,$A116,Contacts!$B$2:$B$501,"*Owner*")+COUNTIFS(Contacts!$A$2:$A$501,$A116,Contacts!$F$2:$F$501,"*owner*")=0,"MISSING","OK"))</f>
        <v/>
      </c>
      <c r="G116" s="31">
        <f>IF($A116="","",IF(COUNTIFS(Contacts!$A$2:$A$501,$A116,Contacts!$B$2:$B$501,"*Listing*")+COUNTIFS(Contacts!$A$2:$A$501,$A116,Contacts!$F$2:$F$501,"*listing agent*")=0,"MISSING","OK"))</f>
        <v/>
      </c>
      <c r="H116" s="31">
        <f>IF($A116="","",IF(COUNTIFS(Contacts!$A$2:$A$501,$A116,Contacts!$B$2:$B$501,"*Builder Rep*")+COUNTIFS(Contacts!$A$2:$A$501,$A116,Contacts!$B$2:$B$501,"Sales*")=0,"MISSING","OK"))</f>
        <v/>
      </c>
      <c r="I116" s="31">
        <f>IF($A116="","",IF(COUNTIFS(Contacts!$A$2:$A$501,$A116,Contacts!$B$2:$B$501,"*Docs*")+COUNTIFS(Contacts!$A$2:$A$501,$A116,Contacts!$F$2:$F$501,"*builder doc*")=0,"MISSING","OK"))</f>
        <v/>
      </c>
      <c r="J116" s="31">
        <f>IF($A116="","",IF(COUNTIFS(Contacts!$A$2:$A$501,$A116,Contacts!$B$2:$B$501,"*Appraisal*")+COUNTIFS(Contacts!$A$2:$A$501,$A116,Contacts!$F$2:$F$501,"*apprais*")=0,"MISSING","OK"))</f>
        <v/>
      </c>
      <c r="K116" s="31">
        <f>IF($A116="","",IF(Builders!$B113="","MISSING",IF(COUNTIFS('Title Contacts'!$A$2:$A$601,Builders!$B113,'Title Contacts'!$B$2:$B$601,"*agent*",'Title Contacts'!$C$2:$C$601,"&lt;&gt;")&gt;0,"OK","MISSING")))</f>
        <v/>
      </c>
      <c r="L116" s="31">
        <f>IF($A116="","",IF(Builders!$B113="","MISSING",IF(COUNTIFS('Title Contacts'!$A$2:$A$601,Builders!$B113,'Title Contacts'!$B$2:$B$601,"*assistant*",'Title Contacts'!$C$2:$C$601,"&lt;&gt;")&gt;0,"OK","MISSING")))</f>
        <v/>
      </c>
      <c r="M116" s="31">
        <f>IF($A116="","",COUNTIF(B116:L116,"MISSING"))</f>
        <v/>
      </c>
    </row>
    <row r="117">
      <c r="A117" s="18">
        <f>IF(Builders!$A114="","",Builders!$A114)</f>
        <v/>
      </c>
      <c r="B117" s="31">
        <f>IF($A117="","",IF(Builders!$B114="","MISSING","OK"))</f>
        <v/>
      </c>
      <c r="C117" s="31">
        <f>IF($A117="","",IF(Builders!$C114="","MISSING","OK"))</f>
        <v/>
      </c>
      <c r="D117" s="31">
        <f>IF($A117="","",IF(Builders!$D114="","MISSING","OK"))</f>
        <v/>
      </c>
      <c r="E117" s="31">
        <f>IF($A117="","",IF(Builders!$F114="","MISSING","OK"))</f>
        <v/>
      </c>
      <c r="F117" s="31">
        <f>IF($A117="","",IF(COUNTIFS(Contacts!$A$2:$A$501,$A117,Contacts!$B$2:$B$501,"*Owner*")+COUNTIFS(Contacts!$A$2:$A$501,$A117,Contacts!$F$2:$F$501,"*owner*")=0,"MISSING","OK"))</f>
        <v/>
      </c>
      <c r="G117" s="31">
        <f>IF($A117="","",IF(COUNTIFS(Contacts!$A$2:$A$501,$A117,Contacts!$B$2:$B$501,"*Listing*")+COUNTIFS(Contacts!$A$2:$A$501,$A117,Contacts!$F$2:$F$501,"*listing agent*")=0,"MISSING","OK"))</f>
        <v/>
      </c>
      <c r="H117" s="31">
        <f>IF($A117="","",IF(COUNTIFS(Contacts!$A$2:$A$501,$A117,Contacts!$B$2:$B$501,"*Builder Rep*")+COUNTIFS(Contacts!$A$2:$A$501,$A117,Contacts!$B$2:$B$501,"Sales*")=0,"MISSING","OK"))</f>
        <v/>
      </c>
      <c r="I117" s="31">
        <f>IF($A117="","",IF(COUNTIFS(Contacts!$A$2:$A$501,$A117,Contacts!$B$2:$B$501,"*Docs*")+COUNTIFS(Contacts!$A$2:$A$501,$A117,Contacts!$F$2:$F$501,"*builder doc*")=0,"MISSING","OK"))</f>
        <v/>
      </c>
      <c r="J117" s="31">
        <f>IF($A117="","",IF(COUNTIFS(Contacts!$A$2:$A$501,$A117,Contacts!$B$2:$B$501,"*Appraisal*")+COUNTIFS(Contacts!$A$2:$A$501,$A117,Contacts!$F$2:$F$501,"*apprais*")=0,"MISSING","OK"))</f>
        <v/>
      </c>
      <c r="K117" s="31">
        <f>IF($A117="","",IF(Builders!$B114="","MISSING",IF(COUNTIFS('Title Contacts'!$A$2:$A$601,Builders!$B114,'Title Contacts'!$B$2:$B$601,"*agent*",'Title Contacts'!$C$2:$C$601,"&lt;&gt;")&gt;0,"OK","MISSING")))</f>
        <v/>
      </c>
      <c r="L117" s="31">
        <f>IF($A117="","",IF(Builders!$B114="","MISSING",IF(COUNTIFS('Title Contacts'!$A$2:$A$601,Builders!$B114,'Title Contacts'!$B$2:$B$601,"*assistant*",'Title Contacts'!$C$2:$C$601,"&lt;&gt;")&gt;0,"OK","MISSING")))</f>
        <v/>
      </c>
      <c r="M117" s="31">
        <f>IF($A117="","",COUNTIF(B117:L117,"MISSING"))</f>
        <v/>
      </c>
    </row>
    <row r="118">
      <c r="A118" s="18">
        <f>IF(Builders!$A115="","",Builders!$A115)</f>
        <v/>
      </c>
      <c r="B118" s="31">
        <f>IF($A118="","",IF(Builders!$B115="","MISSING","OK"))</f>
        <v/>
      </c>
      <c r="C118" s="31">
        <f>IF($A118="","",IF(Builders!$C115="","MISSING","OK"))</f>
        <v/>
      </c>
      <c r="D118" s="31">
        <f>IF($A118="","",IF(Builders!$D115="","MISSING","OK"))</f>
        <v/>
      </c>
      <c r="E118" s="31">
        <f>IF($A118="","",IF(Builders!$F115="","MISSING","OK"))</f>
        <v/>
      </c>
      <c r="F118" s="31">
        <f>IF($A118="","",IF(COUNTIFS(Contacts!$A$2:$A$501,$A118,Contacts!$B$2:$B$501,"*Owner*")+COUNTIFS(Contacts!$A$2:$A$501,$A118,Contacts!$F$2:$F$501,"*owner*")=0,"MISSING","OK"))</f>
        <v/>
      </c>
      <c r="G118" s="31">
        <f>IF($A118="","",IF(COUNTIFS(Contacts!$A$2:$A$501,$A118,Contacts!$B$2:$B$501,"*Listing*")+COUNTIFS(Contacts!$A$2:$A$501,$A118,Contacts!$F$2:$F$501,"*listing agent*")=0,"MISSING","OK"))</f>
        <v/>
      </c>
      <c r="H118" s="31">
        <f>IF($A118="","",IF(COUNTIFS(Contacts!$A$2:$A$501,$A118,Contacts!$B$2:$B$501,"*Builder Rep*")+COUNTIFS(Contacts!$A$2:$A$501,$A118,Contacts!$B$2:$B$501,"Sales*")=0,"MISSING","OK"))</f>
        <v/>
      </c>
      <c r="I118" s="31">
        <f>IF($A118="","",IF(COUNTIFS(Contacts!$A$2:$A$501,$A118,Contacts!$B$2:$B$501,"*Docs*")+COUNTIFS(Contacts!$A$2:$A$501,$A118,Contacts!$F$2:$F$501,"*builder doc*")=0,"MISSING","OK"))</f>
        <v/>
      </c>
      <c r="J118" s="31">
        <f>IF($A118="","",IF(COUNTIFS(Contacts!$A$2:$A$501,$A118,Contacts!$B$2:$B$501,"*Appraisal*")+COUNTIFS(Contacts!$A$2:$A$501,$A118,Contacts!$F$2:$F$501,"*apprais*")=0,"MISSING","OK"))</f>
        <v/>
      </c>
      <c r="K118" s="31">
        <f>IF($A118="","",IF(Builders!$B115="","MISSING",IF(COUNTIFS('Title Contacts'!$A$2:$A$601,Builders!$B115,'Title Contacts'!$B$2:$B$601,"*agent*",'Title Contacts'!$C$2:$C$601,"&lt;&gt;")&gt;0,"OK","MISSING")))</f>
        <v/>
      </c>
      <c r="L118" s="31">
        <f>IF($A118="","",IF(Builders!$B115="","MISSING",IF(COUNTIFS('Title Contacts'!$A$2:$A$601,Builders!$B115,'Title Contacts'!$B$2:$B$601,"*assistant*",'Title Contacts'!$C$2:$C$601,"&lt;&gt;")&gt;0,"OK","MISSING")))</f>
        <v/>
      </c>
      <c r="M118" s="31">
        <f>IF($A118="","",COUNTIF(B118:L118,"MISSING"))</f>
        <v/>
      </c>
    </row>
    <row r="119">
      <c r="A119" s="18">
        <f>IF(Builders!$A116="","",Builders!$A116)</f>
        <v/>
      </c>
      <c r="B119" s="31">
        <f>IF($A119="","",IF(Builders!$B116="","MISSING","OK"))</f>
        <v/>
      </c>
      <c r="C119" s="31">
        <f>IF($A119="","",IF(Builders!$C116="","MISSING","OK"))</f>
        <v/>
      </c>
      <c r="D119" s="31">
        <f>IF($A119="","",IF(Builders!$D116="","MISSING","OK"))</f>
        <v/>
      </c>
      <c r="E119" s="31">
        <f>IF($A119="","",IF(Builders!$F116="","MISSING","OK"))</f>
        <v/>
      </c>
      <c r="F119" s="31">
        <f>IF($A119="","",IF(COUNTIFS(Contacts!$A$2:$A$501,$A119,Contacts!$B$2:$B$501,"*Owner*")+COUNTIFS(Contacts!$A$2:$A$501,$A119,Contacts!$F$2:$F$501,"*owner*")=0,"MISSING","OK"))</f>
        <v/>
      </c>
      <c r="G119" s="31">
        <f>IF($A119="","",IF(COUNTIFS(Contacts!$A$2:$A$501,$A119,Contacts!$B$2:$B$501,"*Listing*")+COUNTIFS(Contacts!$A$2:$A$501,$A119,Contacts!$F$2:$F$501,"*listing agent*")=0,"MISSING","OK"))</f>
        <v/>
      </c>
      <c r="H119" s="31">
        <f>IF($A119="","",IF(COUNTIFS(Contacts!$A$2:$A$501,$A119,Contacts!$B$2:$B$501,"*Builder Rep*")+COUNTIFS(Contacts!$A$2:$A$501,$A119,Contacts!$B$2:$B$501,"Sales*")=0,"MISSING","OK"))</f>
        <v/>
      </c>
      <c r="I119" s="31">
        <f>IF($A119="","",IF(COUNTIFS(Contacts!$A$2:$A$501,$A119,Contacts!$B$2:$B$501,"*Docs*")+COUNTIFS(Contacts!$A$2:$A$501,$A119,Contacts!$F$2:$F$501,"*builder doc*")=0,"MISSING","OK"))</f>
        <v/>
      </c>
      <c r="J119" s="31">
        <f>IF($A119="","",IF(COUNTIFS(Contacts!$A$2:$A$501,$A119,Contacts!$B$2:$B$501,"*Appraisal*")+COUNTIFS(Contacts!$A$2:$A$501,$A119,Contacts!$F$2:$F$501,"*apprais*")=0,"MISSING","OK"))</f>
        <v/>
      </c>
      <c r="K119" s="31">
        <f>IF($A119="","",IF(Builders!$B116="","MISSING",IF(COUNTIFS('Title Contacts'!$A$2:$A$601,Builders!$B116,'Title Contacts'!$B$2:$B$601,"*agent*",'Title Contacts'!$C$2:$C$601,"&lt;&gt;")&gt;0,"OK","MISSING")))</f>
        <v/>
      </c>
      <c r="L119" s="31">
        <f>IF($A119="","",IF(Builders!$B116="","MISSING",IF(COUNTIFS('Title Contacts'!$A$2:$A$601,Builders!$B116,'Title Contacts'!$B$2:$B$601,"*assistant*",'Title Contacts'!$C$2:$C$601,"&lt;&gt;")&gt;0,"OK","MISSING")))</f>
        <v/>
      </c>
      <c r="M119" s="31">
        <f>IF($A119="","",COUNTIF(B119:L119,"MISSING"))</f>
        <v/>
      </c>
    </row>
    <row r="120">
      <c r="A120" s="18">
        <f>IF(Builders!$A117="","",Builders!$A117)</f>
        <v/>
      </c>
      <c r="B120" s="31">
        <f>IF($A120="","",IF(Builders!$B117="","MISSING","OK"))</f>
        <v/>
      </c>
      <c r="C120" s="31">
        <f>IF($A120="","",IF(Builders!$C117="","MISSING","OK"))</f>
        <v/>
      </c>
      <c r="D120" s="31">
        <f>IF($A120="","",IF(Builders!$D117="","MISSING","OK"))</f>
        <v/>
      </c>
      <c r="E120" s="31">
        <f>IF($A120="","",IF(Builders!$F117="","MISSING","OK"))</f>
        <v/>
      </c>
      <c r="F120" s="31">
        <f>IF($A120="","",IF(COUNTIFS(Contacts!$A$2:$A$501,$A120,Contacts!$B$2:$B$501,"*Owner*")+COUNTIFS(Contacts!$A$2:$A$501,$A120,Contacts!$F$2:$F$501,"*owner*")=0,"MISSING","OK"))</f>
        <v/>
      </c>
      <c r="G120" s="31">
        <f>IF($A120="","",IF(COUNTIFS(Contacts!$A$2:$A$501,$A120,Contacts!$B$2:$B$501,"*Listing*")+COUNTIFS(Contacts!$A$2:$A$501,$A120,Contacts!$F$2:$F$501,"*listing agent*")=0,"MISSING","OK"))</f>
        <v/>
      </c>
      <c r="H120" s="31">
        <f>IF($A120="","",IF(COUNTIFS(Contacts!$A$2:$A$501,$A120,Contacts!$B$2:$B$501,"*Builder Rep*")+COUNTIFS(Contacts!$A$2:$A$501,$A120,Contacts!$B$2:$B$501,"Sales*")=0,"MISSING","OK"))</f>
        <v/>
      </c>
      <c r="I120" s="31">
        <f>IF($A120="","",IF(COUNTIFS(Contacts!$A$2:$A$501,$A120,Contacts!$B$2:$B$501,"*Docs*")+COUNTIFS(Contacts!$A$2:$A$501,$A120,Contacts!$F$2:$F$501,"*builder doc*")=0,"MISSING","OK"))</f>
        <v/>
      </c>
      <c r="J120" s="31">
        <f>IF($A120="","",IF(COUNTIFS(Contacts!$A$2:$A$501,$A120,Contacts!$B$2:$B$501,"*Appraisal*")+COUNTIFS(Contacts!$A$2:$A$501,$A120,Contacts!$F$2:$F$501,"*apprais*")=0,"MISSING","OK"))</f>
        <v/>
      </c>
      <c r="K120" s="31">
        <f>IF($A120="","",IF(Builders!$B117="","MISSING",IF(COUNTIFS('Title Contacts'!$A$2:$A$601,Builders!$B117,'Title Contacts'!$B$2:$B$601,"*agent*",'Title Contacts'!$C$2:$C$601,"&lt;&gt;")&gt;0,"OK","MISSING")))</f>
        <v/>
      </c>
      <c r="L120" s="31">
        <f>IF($A120="","",IF(Builders!$B117="","MISSING",IF(COUNTIFS('Title Contacts'!$A$2:$A$601,Builders!$B117,'Title Contacts'!$B$2:$B$601,"*assistant*",'Title Contacts'!$C$2:$C$601,"&lt;&gt;")&gt;0,"OK","MISSING")))</f>
        <v/>
      </c>
      <c r="M120" s="31">
        <f>IF($A120="","",COUNTIF(B120:L120,"MISSING"))</f>
        <v/>
      </c>
    </row>
    <row r="121">
      <c r="A121" s="18">
        <f>IF(Builders!$A118="","",Builders!$A118)</f>
        <v/>
      </c>
      <c r="B121" s="31">
        <f>IF($A121="","",IF(Builders!$B118="","MISSING","OK"))</f>
        <v/>
      </c>
      <c r="C121" s="31">
        <f>IF($A121="","",IF(Builders!$C118="","MISSING","OK"))</f>
        <v/>
      </c>
      <c r="D121" s="31">
        <f>IF($A121="","",IF(Builders!$D118="","MISSING","OK"))</f>
        <v/>
      </c>
      <c r="E121" s="31">
        <f>IF($A121="","",IF(Builders!$F118="","MISSING","OK"))</f>
        <v/>
      </c>
      <c r="F121" s="31">
        <f>IF($A121="","",IF(COUNTIFS(Contacts!$A$2:$A$501,$A121,Contacts!$B$2:$B$501,"*Owner*")+COUNTIFS(Contacts!$A$2:$A$501,$A121,Contacts!$F$2:$F$501,"*owner*")=0,"MISSING","OK"))</f>
        <v/>
      </c>
      <c r="G121" s="31">
        <f>IF($A121="","",IF(COUNTIFS(Contacts!$A$2:$A$501,$A121,Contacts!$B$2:$B$501,"*Listing*")+COUNTIFS(Contacts!$A$2:$A$501,$A121,Contacts!$F$2:$F$501,"*listing agent*")=0,"MISSING","OK"))</f>
        <v/>
      </c>
      <c r="H121" s="31">
        <f>IF($A121="","",IF(COUNTIFS(Contacts!$A$2:$A$501,$A121,Contacts!$B$2:$B$501,"*Builder Rep*")+COUNTIFS(Contacts!$A$2:$A$501,$A121,Contacts!$B$2:$B$501,"Sales*")=0,"MISSING","OK"))</f>
        <v/>
      </c>
      <c r="I121" s="31">
        <f>IF($A121="","",IF(COUNTIFS(Contacts!$A$2:$A$501,$A121,Contacts!$B$2:$B$501,"*Docs*")+COUNTIFS(Contacts!$A$2:$A$501,$A121,Contacts!$F$2:$F$501,"*builder doc*")=0,"MISSING","OK"))</f>
        <v/>
      </c>
      <c r="J121" s="31">
        <f>IF($A121="","",IF(COUNTIFS(Contacts!$A$2:$A$501,$A121,Contacts!$B$2:$B$501,"*Appraisal*")+COUNTIFS(Contacts!$A$2:$A$501,$A121,Contacts!$F$2:$F$501,"*apprais*")=0,"MISSING","OK"))</f>
        <v/>
      </c>
      <c r="K121" s="31">
        <f>IF($A121="","",IF(Builders!$B118="","MISSING",IF(COUNTIFS('Title Contacts'!$A$2:$A$601,Builders!$B118,'Title Contacts'!$B$2:$B$601,"*agent*",'Title Contacts'!$C$2:$C$601,"&lt;&gt;")&gt;0,"OK","MISSING")))</f>
        <v/>
      </c>
      <c r="L121" s="31">
        <f>IF($A121="","",IF(Builders!$B118="","MISSING",IF(COUNTIFS('Title Contacts'!$A$2:$A$601,Builders!$B118,'Title Contacts'!$B$2:$B$601,"*assistant*",'Title Contacts'!$C$2:$C$601,"&lt;&gt;")&gt;0,"OK","MISSING")))</f>
        <v/>
      </c>
      <c r="M121" s="31">
        <f>IF($A121="","",COUNTIF(B121:L121,"MISSING"))</f>
        <v/>
      </c>
    </row>
    <row r="122">
      <c r="A122" s="18">
        <f>IF(Builders!$A119="","",Builders!$A119)</f>
        <v/>
      </c>
      <c r="B122" s="31">
        <f>IF($A122="","",IF(Builders!$B119="","MISSING","OK"))</f>
        <v/>
      </c>
      <c r="C122" s="31">
        <f>IF($A122="","",IF(Builders!$C119="","MISSING","OK"))</f>
        <v/>
      </c>
      <c r="D122" s="31">
        <f>IF($A122="","",IF(Builders!$D119="","MISSING","OK"))</f>
        <v/>
      </c>
      <c r="E122" s="31">
        <f>IF($A122="","",IF(Builders!$F119="","MISSING","OK"))</f>
        <v/>
      </c>
      <c r="F122" s="31">
        <f>IF($A122="","",IF(COUNTIFS(Contacts!$A$2:$A$501,$A122,Contacts!$B$2:$B$501,"*Owner*")+COUNTIFS(Contacts!$A$2:$A$501,$A122,Contacts!$F$2:$F$501,"*owner*")=0,"MISSING","OK"))</f>
        <v/>
      </c>
      <c r="G122" s="31">
        <f>IF($A122="","",IF(COUNTIFS(Contacts!$A$2:$A$501,$A122,Contacts!$B$2:$B$501,"*Listing*")+COUNTIFS(Contacts!$A$2:$A$501,$A122,Contacts!$F$2:$F$501,"*listing agent*")=0,"MISSING","OK"))</f>
        <v/>
      </c>
      <c r="H122" s="31">
        <f>IF($A122="","",IF(COUNTIFS(Contacts!$A$2:$A$501,$A122,Contacts!$B$2:$B$501,"*Builder Rep*")+COUNTIFS(Contacts!$A$2:$A$501,$A122,Contacts!$B$2:$B$501,"Sales*")=0,"MISSING","OK"))</f>
        <v/>
      </c>
      <c r="I122" s="31">
        <f>IF($A122="","",IF(COUNTIFS(Contacts!$A$2:$A$501,$A122,Contacts!$B$2:$B$501,"*Docs*")+COUNTIFS(Contacts!$A$2:$A$501,$A122,Contacts!$F$2:$F$501,"*builder doc*")=0,"MISSING","OK"))</f>
        <v/>
      </c>
      <c r="J122" s="31">
        <f>IF($A122="","",IF(COUNTIFS(Contacts!$A$2:$A$501,$A122,Contacts!$B$2:$B$501,"*Appraisal*")+COUNTIFS(Contacts!$A$2:$A$501,$A122,Contacts!$F$2:$F$501,"*apprais*")=0,"MISSING","OK"))</f>
        <v/>
      </c>
      <c r="K122" s="31">
        <f>IF($A122="","",IF(Builders!$B119="","MISSING",IF(COUNTIFS('Title Contacts'!$A$2:$A$601,Builders!$B119,'Title Contacts'!$B$2:$B$601,"*agent*",'Title Contacts'!$C$2:$C$601,"&lt;&gt;")&gt;0,"OK","MISSING")))</f>
        <v/>
      </c>
      <c r="L122" s="31">
        <f>IF($A122="","",IF(Builders!$B119="","MISSING",IF(COUNTIFS('Title Contacts'!$A$2:$A$601,Builders!$B119,'Title Contacts'!$B$2:$B$601,"*assistant*",'Title Contacts'!$C$2:$C$601,"&lt;&gt;")&gt;0,"OK","MISSING")))</f>
        <v/>
      </c>
      <c r="M122" s="31">
        <f>IF($A122="","",COUNTIF(B122:L122,"MISSING"))</f>
        <v/>
      </c>
    </row>
    <row r="123">
      <c r="A123" s="18">
        <f>IF(Builders!$A120="","",Builders!$A120)</f>
        <v/>
      </c>
      <c r="B123" s="31">
        <f>IF($A123="","",IF(Builders!$B120="","MISSING","OK"))</f>
        <v/>
      </c>
      <c r="C123" s="31">
        <f>IF($A123="","",IF(Builders!$C120="","MISSING","OK"))</f>
        <v/>
      </c>
      <c r="D123" s="31">
        <f>IF($A123="","",IF(Builders!$D120="","MISSING","OK"))</f>
        <v/>
      </c>
      <c r="E123" s="31">
        <f>IF($A123="","",IF(Builders!$F120="","MISSING","OK"))</f>
        <v/>
      </c>
      <c r="F123" s="31">
        <f>IF($A123="","",IF(COUNTIFS(Contacts!$A$2:$A$501,$A123,Contacts!$B$2:$B$501,"*Owner*")+COUNTIFS(Contacts!$A$2:$A$501,$A123,Contacts!$F$2:$F$501,"*owner*")=0,"MISSING","OK"))</f>
        <v/>
      </c>
      <c r="G123" s="31">
        <f>IF($A123="","",IF(COUNTIFS(Contacts!$A$2:$A$501,$A123,Contacts!$B$2:$B$501,"*Listing*")+COUNTIFS(Contacts!$A$2:$A$501,$A123,Contacts!$F$2:$F$501,"*listing agent*")=0,"MISSING","OK"))</f>
        <v/>
      </c>
      <c r="H123" s="31">
        <f>IF($A123="","",IF(COUNTIFS(Contacts!$A$2:$A$501,$A123,Contacts!$B$2:$B$501,"*Builder Rep*")+COUNTIFS(Contacts!$A$2:$A$501,$A123,Contacts!$B$2:$B$501,"Sales*")=0,"MISSING","OK"))</f>
        <v/>
      </c>
      <c r="I123" s="31">
        <f>IF($A123="","",IF(COUNTIFS(Contacts!$A$2:$A$501,$A123,Contacts!$B$2:$B$501,"*Docs*")+COUNTIFS(Contacts!$A$2:$A$501,$A123,Contacts!$F$2:$F$501,"*builder doc*")=0,"MISSING","OK"))</f>
        <v/>
      </c>
      <c r="J123" s="31">
        <f>IF($A123="","",IF(COUNTIFS(Contacts!$A$2:$A$501,$A123,Contacts!$B$2:$B$501,"*Appraisal*")+COUNTIFS(Contacts!$A$2:$A$501,$A123,Contacts!$F$2:$F$501,"*apprais*")=0,"MISSING","OK"))</f>
        <v/>
      </c>
      <c r="K123" s="31">
        <f>IF($A123="","",IF(Builders!$B120="","MISSING",IF(COUNTIFS('Title Contacts'!$A$2:$A$601,Builders!$B120,'Title Contacts'!$B$2:$B$601,"*agent*",'Title Contacts'!$C$2:$C$601,"&lt;&gt;")&gt;0,"OK","MISSING")))</f>
        <v/>
      </c>
      <c r="L123" s="31">
        <f>IF($A123="","",IF(Builders!$B120="","MISSING",IF(COUNTIFS('Title Contacts'!$A$2:$A$601,Builders!$B120,'Title Contacts'!$B$2:$B$601,"*assistant*",'Title Contacts'!$C$2:$C$601,"&lt;&gt;")&gt;0,"OK","MISSING")))</f>
        <v/>
      </c>
      <c r="M123" s="31">
        <f>IF($A123="","",COUNTIF(B123:L123,"MISSING"))</f>
        <v/>
      </c>
    </row>
    <row r="124">
      <c r="A124" s="18">
        <f>IF(Builders!$A121="","",Builders!$A121)</f>
        <v/>
      </c>
      <c r="B124" s="31">
        <f>IF($A124="","",IF(Builders!$B121="","MISSING","OK"))</f>
        <v/>
      </c>
      <c r="C124" s="31">
        <f>IF($A124="","",IF(Builders!$C121="","MISSING","OK"))</f>
        <v/>
      </c>
      <c r="D124" s="31">
        <f>IF($A124="","",IF(Builders!$D121="","MISSING","OK"))</f>
        <v/>
      </c>
      <c r="E124" s="31">
        <f>IF($A124="","",IF(Builders!$F121="","MISSING","OK"))</f>
        <v/>
      </c>
      <c r="F124" s="31">
        <f>IF($A124="","",IF(COUNTIFS(Contacts!$A$2:$A$501,$A124,Contacts!$B$2:$B$501,"*Owner*")+COUNTIFS(Contacts!$A$2:$A$501,$A124,Contacts!$F$2:$F$501,"*owner*")=0,"MISSING","OK"))</f>
        <v/>
      </c>
      <c r="G124" s="31">
        <f>IF($A124="","",IF(COUNTIFS(Contacts!$A$2:$A$501,$A124,Contacts!$B$2:$B$501,"*Listing*")+COUNTIFS(Contacts!$A$2:$A$501,$A124,Contacts!$F$2:$F$501,"*listing agent*")=0,"MISSING","OK"))</f>
        <v/>
      </c>
      <c r="H124" s="31">
        <f>IF($A124="","",IF(COUNTIFS(Contacts!$A$2:$A$501,$A124,Contacts!$B$2:$B$501,"*Builder Rep*")+COUNTIFS(Contacts!$A$2:$A$501,$A124,Contacts!$B$2:$B$501,"Sales*")=0,"MISSING","OK"))</f>
        <v/>
      </c>
      <c r="I124" s="31">
        <f>IF($A124="","",IF(COUNTIFS(Contacts!$A$2:$A$501,$A124,Contacts!$B$2:$B$501,"*Docs*")+COUNTIFS(Contacts!$A$2:$A$501,$A124,Contacts!$F$2:$F$501,"*builder doc*")=0,"MISSING","OK"))</f>
        <v/>
      </c>
      <c r="J124" s="31">
        <f>IF($A124="","",IF(COUNTIFS(Contacts!$A$2:$A$501,$A124,Contacts!$B$2:$B$501,"*Appraisal*")+COUNTIFS(Contacts!$A$2:$A$501,$A124,Contacts!$F$2:$F$501,"*apprais*")=0,"MISSING","OK"))</f>
        <v/>
      </c>
      <c r="K124" s="31">
        <f>IF($A124="","",IF(Builders!$B121="","MISSING",IF(COUNTIFS('Title Contacts'!$A$2:$A$601,Builders!$B121,'Title Contacts'!$B$2:$B$601,"*agent*",'Title Contacts'!$C$2:$C$601,"&lt;&gt;")&gt;0,"OK","MISSING")))</f>
        <v/>
      </c>
      <c r="L124" s="31">
        <f>IF($A124="","",IF(Builders!$B121="","MISSING",IF(COUNTIFS('Title Contacts'!$A$2:$A$601,Builders!$B121,'Title Contacts'!$B$2:$B$601,"*assistant*",'Title Contacts'!$C$2:$C$601,"&lt;&gt;")&gt;0,"OK","MISSING")))</f>
        <v/>
      </c>
      <c r="M124" s="31">
        <f>IF($A124="","",COUNTIF(B124:L124,"MISSING"))</f>
        <v/>
      </c>
    </row>
    <row r="125">
      <c r="A125" s="18">
        <f>IF(Builders!$A122="","",Builders!$A122)</f>
        <v/>
      </c>
      <c r="B125" s="31">
        <f>IF($A125="","",IF(Builders!$B122="","MISSING","OK"))</f>
        <v/>
      </c>
      <c r="C125" s="31">
        <f>IF($A125="","",IF(Builders!$C122="","MISSING","OK"))</f>
        <v/>
      </c>
      <c r="D125" s="31">
        <f>IF($A125="","",IF(Builders!$D122="","MISSING","OK"))</f>
        <v/>
      </c>
      <c r="E125" s="31">
        <f>IF($A125="","",IF(Builders!$F122="","MISSING","OK"))</f>
        <v/>
      </c>
      <c r="F125" s="31">
        <f>IF($A125="","",IF(COUNTIFS(Contacts!$A$2:$A$501,$A125,Contacts!$B$2:$B$501,"*Owner*")+COUNTIFS(Contacts!$A$2:$A$501,$A125,Contacts!$F$2:$F$501,"*owner*")=0,"MISSING","OK"))</f>
        <v/>
      </c>
      <c r="G125" s="31">
        <f>IF($A125="","",IF(COUNTIFS(Contacts!$A$2:$A$501,$A125,Contacts!$B$2:$B$501,"*Listing*")+COUNTIFS(Contacts!$A$2:$A$501,$A125,Contacts!$F$2:$F$501,"*listing agent*")=0,"MISSING","OK"))</f>
        <v/>
      </c>
      <c r="H125" s="31">
        <f>IF($A125="","",IF(COUNTIFS(Contacts!$A$2:$A$501,$A125,Contacts!$B$2:$B$501,"*Builder Rep*")+COUNTIFS(Contacts!$A$2:$A$501,$A125,Contacts!$B$2:$B$501,"Sales*")=0,"MISSING","OK"))</f>
        <v/>
      </c>
      <c r="I125" s="31">
        <f>IF($A125="","",IF(COUNTIFS(Contacts!$A$2:$A$501,$A125,Contacts!$B$2:$B$501,"*Docs*")+COUNTIFS(Contacts!$A$2:$A$501,$A125,Contacts!$F$2:$F$501,"*builder doc*")=0,"MISSING","OK"))</f>
        <v/>
      </c>
      <c r="J125" s="31">
        <f>IF($A125="","",IF(COUNTIFS(Contacts!$A$2:$A$501,$A125,Contacts!$B$2:$B$501,"*Appraisal*")+COUNTIFS(Contacts!$A$2:$A$501,$A125,Contacts!$F$2:$F$501,"*apprais*")=0,"MISSING","OK"))</f>
        <v/>
      </c>
      <c r="K125" s="31">
        <f>IF($A125="","",IF(Builders!$B122="","MISSING",IF(COUNTIFS('Title Contacts'!$A$2:$A$601,Builders!$B122,'Title Contacts'!$B$2:$B$601,"*agent*",'Title Contacts'!$C$2:$C$601,"&lt;&gt;")&gt;0,"OK","MISSING")))</f>
        <v/>
      </c>
      <c r="L125" s="31">
        <f>IF($A125="","",IF(Builders!$B122="","MISSING",IF(COUNTIFS('Title Contacts'!$A$2:$A$601,Builders!$B122,'Title Contacts'!$B$2:$B$601,"*assistant*",'Title Contacts'!$C$2:$C$601,"&lt;&gt;")&gt;0,"OK","MISSING")))</f>
        <v/>
      </c>
      <c r="M125" s="31">
        <f>IF($A125="","",COUNTIF(B125:L125,"MISSING"))</f>
        <v/>
      </c>
    </row>
    <row r="126">
      <c r="A126" s="18">
        <f>IF(Builders!$A123="","",Builders!$A123)</f>
        <v/>
      </c>
      <c r="B126" s="31">
        <f>IF($A126="","",IF(Builders!$B123="","MISSING","OK"))</f>
        <v/>
      </c>
      <c r="C126" s="31">
        <f>IF($A126="","",IF(Builders!$C123="","MISSING","OK"))</f>
        <v/>
      </c>
      <c r="D126" s="31">
        <f>IF($A126="","",IF(Builders!$D123="","MISSING","OK"))</f>
        <v/>
      </c>
      <c r="E126" s="31">
        <f>IF($A126="","",IF(Builders!$F123="","MISSING","OK"))</f>
        <v/>
      </c>
      <c r="F126" s="31">
        <f>IF($A126="","",IF(COUNTIFS(Contacts!$A$2:$A$501,$A126,Contacts!$B$2:$B$501,"*Owner*")+COUNTIFS(Contacts!$A$2:$A$501,$A126,Contacts!$F$2:$F$501,"*owner*")=0,"MISSING","OK"))</f>
        <v/>
      </c>
      <c r="G126" s="31">
        <f>IF($A126="","",IF(COUNTIFS(Contacts!$A$2:$A$501,$A126,Contacts!$B$2:$B$501,"*Listing*")+COUNTIFS(Contacts!$A$2:$A$501,$A126,Contacts!$F$2:$F$501,"*listing agent*")=0,"MISSING","OK"))</f>
        <v/>
      </c>
      <c r="H126" s="31">
        <f>IF($A126="","",IF(COUNTIFS(Contacts!$A$2:$A$501,$A126,Contacts!$B$2:$B$501,"*Builder Rep*")+COUNTIFS(Contacts!$A$2:$A$501,$A126,Contacts!$B$2:$B$501,"Sales*")=0,"MISSING","OK"))</f>
        <v/>
      </c>
      <c r="I126" s="31">
        <f>IF($A126="","",IF(COUNTIFS(Contacts!$A$2:$A$501,$A126,Contacts!$B$2:$B$501,"*Docs*")+COUNTIFS(Contacts!$A$2:$A$501,$A126,Contacts!$F$2:$F$501,"*builder doc*")=0,"MISSING","OK"))</f>
        <v/>
      </c>
      <c r="J126" s="31">
        <f>IF($A126="","",IF(COUNTIFS(Contacts!$A$2:$A$501,$A126,Contacts!$B$2:$B$501,"*Appraisal*")+COUNTIFS(Contacts!$A$2:$A$501,$A126,Contacts!$F$2:$F$501,"*apprais*")=0,"MISSING","OK"))</f>
        <v/>
      </c>
      <c r="K126" s="31">
        <f>IF($A126="","",IF(Builders!$B123="","MISSING",IF(COUNTIFS('Title Contacts'!$A$2:$A$601,Builders!$B123,'Title Contacts'!$B$2:$B$601,"*agent*",'Title Contacts'!$C$2:$C$601,"&lt;&gt;")&gt;0,"OK","MISSING")))</f>
        <v/>
      </c>
      <c r="L126" s="31">
        <f>IF($A126="","",IF(Builders!$B123="","MISSING",IF(COUNTIFS('Title Contacts'!$A$2:$A$601,Builders!$B123,'Title Contacts'!$B$2:$B$601,"*assistant*",'Title Contacts'!$C$2:$C$601,"&lt;&gt;")&gt;0,"OK","MISSING")))</f>
        <v/>
      </c>
      <c r="M126" s="31">
        <f>IF($A126="","",COUNTIF(B126:L126,"MISSING"))</f>
        <v/>
      </c>
    </row>
    <row r="127">
      <c r="A127" s="18">
        <f>IF(Builders!$A124="","",Builders!$A124)</f>
        <v/>
      </c>
      <c r="B127" s="31">
        <f>IF($A127="","",IF(Builders!$B124="","MISSING","OK"))</f>
        <v/>
      </c>
      <c r="C127" s="31">
        <f>IF($A127="","",IF(Builders!$C124="","MISSING","OK"))</f>
        <v/>
      </c>
      <c r="D127" s="31">
        <f>IF($A127="","",IF(Builders!$D124="","MISSING","OK"))</f>
        <v/>
      </c>
      <c r="E127" s="31">
        <f>IF($A127="","",IF(Builders!$F124="","MISSING","OK"))</f>
        <v/>
      </c>
      <c r="F127" s="31">
        <f>IF($A127="","",IF(COUNTIFS(Contacts!$A$2:$A$501,$A127,Contacts!$B$2:$B$501,"*Owner*")+COUNTIFS(Contacts!$A$2:$A$501,$A127,Contacts!$F$2:$F$501,"*owner*")=0,"MISSING","OK"))</f>
        <v/>
      </c>
      <c r="G127" s="31">
        <f>IF($A127="","",IF(COUNTIFS(Contacts!$A$2:$A$501,$A127,Contacts!$B$2:$B$501,"*Listing*")+COUNTIFS(Contacts!$A$2:$A$501,$A127,Contacts!$F$2:$F$501,"*listing agent*")=0,"MISSING","OK"))</f>
        <v/>
      </c>
      <c r="H127" s="31">
        <f>IF($A127="","",IF(COUNTIFS(Contacts!$A$2:$A$501,$A127,Contacts!$B$2:$B$501,"*Builder Rep*")+COUNTIFS(Contacts!$A$2:$A$501,$A127,Contacts!$B$2:$B$501,"Sales*")=0,"MISSING","OK"))</f>
        <v/>
      </c>
      <c r="I127" s="31">
        <f>IF($A127="","",IF(COUNTIFS(Contacts!$A$2:$A$501,$A127,Contacts!$B$2:$B$501,"*Docs*")+COUNTIFS(Contacts!$A$2:$A$501,$A127,Contacts!$F$2:$F$501,"*builder doc*")=0,"MISSING","OK"))</f>
        <v/>
      </c>
      <c r="J127" s="31">
        <f>IF($A127="","",IF(COUNTIFS(Contacts!$A$2:$A$501,$A127,Contacts!$B$2:$B$501,"*Appraisal*")+COUNTIFS(Contacts!$A$2:$A$501,$A127,Contacts!$F$2:$F$501,"*apprais*")=0,"MISSING","OK"))</f>
        <v/>
      </c>
      <c r="K127" s="31">
        <f>IF($A127="","",IF(Builders!$B124="","MISSING",IF(COUNTIFS('Title Contacts'!$A$2:$A$601,Builders!$B124,'Title Contacts'!$B$2:$B$601,"*agent*",'Title Contacts'!$C$2:$C$601,"&lt;&gt;")&gt;0,"OK","MISSING")))</f>
        <v/>
      </c>
      <c r="L127" s="31">
        <f>IF($A127="","",IF(Builders!$B124="","MISSING",IF(COUNTIFS('Title Contacts'!$A$2:$A$601,Builders!$B124,'Title Contacts'!$B$2:$B$601,"*assistant*",'Title Contacts'!$C$2:$C$601,"&lt;&gt;")&gt;0,"OK","MISSING")))</f>
        <v/>
      </c>
      <c r="M127" s="31">
        <f>IF($A127="","",COUNTIF(B127:L127,"MISSING"))</f>
        <v/>
      </c>
    </row>
    <row r="128">
      <c r="A128" s="18">
        <f>IF(Builders!$A125="","",Builders!$A125)</f>
        <v/>
      </c>
      <c r="B128" s="31">
        <f>IF($A128="","",IF(Builders!$B125="","MISSING","OK"))</f>
        <v/>
      </c>
      <c r="C128" s="31">
        <f>IF($A128="","",IF(Builders!$C125="","MISSING","OK"))</f>
        <v/>
      </c>
      <c r="D128" s="31">
        <f>IF($A128="","",IF(Builders!$D125="","MISSING","OK"))</f>
        <v/>
      </c>
      <c r="E128" s="31">
        <f>IF($A128="","",IF(Builders!$F125="","MISSING","OK"))</f>
        <v/>
      </c>
      <c r="F128" s="31">
        <f>IF($A128="","",IF(COUNTIFS(Contacts!$A$2:$A$501,$A128,Contacts!$B$2:$B$501,"*Owner*")+COUNTIFS(Contacts!$A$2:$A$501,$A128,Contacts!$F$2:$F$501,"*owner*")=0,"MISSING","OK"))</f>
        <v/>
      </c>
      <c r="G128" s="31">
        <f>IF($A128="","",IF(COUNTIFS(Contacts!$A$2:$A$501,$A128,Contacts!$B$2:$B$501,"*Listing*")+COUNTIFS(Contacts!$A$2:$A$501,$A128,Contacts!$F$2:$F$501,"*listing agent*")=0,"MISSING","OK"))</f>
        <v/>
      </c>
      <c r="H128" s="31">
        <f>IF($A128="","",IF(COUNTIFS(Contacts!$A$2:$A$501,$A128,Contacts!$B$2:$B$501,"*Builder Rep*")+COUNTIFS(Contacts!$A$2:$A$501,$A128,Contacts!$B$2:$B$501,"Sales*")=0,"MISSING","OK"))</f>
        <v/>
      </c>
      <c r="I128" s="31">
        <f>IF($A128="","",IF(COUNTIFS(Contacts!$A$2:$A$501,$A128,Contacts!$B$2:$B$501,"*Docs*")+COUNTIFS(Contacts!$A$2:$A$501,$A128,Contacts!$F$2:$F$501,"*builder doc*")=0,"MISSING","OK"))</f>
        <v/>
      </c>
      <c r="J128" s="31">
        <f>IF($A128="","",IF(COUNTIFS(Contacts!$A$2:$A$501,$A128,Contacts!$B$2:$B$501,"*Appraisal*")+COUNTIFS(Contacts!$A$2:$A$501,$A128,Contacts!$F$2:$F$501,"*apprais*")=0,"MISSING","OK"))</f>
        <v/>
      </c>
      <c r="K128" s="31">
        <f>IF($A128="","",IF(Builders!$B125="","MISSING",IF(COUNTIFS('Title Contacts'!$A$2:$A$601,Builders!$B125,'Title Contacts'!$B$2:$B$601,"*agent*",'Title Contacts'!$C$2:$C$601,"&lt;&gt;")&gt;0,"OK","MISSING")))</f>
        <v/>
      </c>
      <c r="L128" s="31">
        <f>IF($A128="","",IF(Builders!$B125="","MISSING",IF(COUNTIFS('Title Contacts'!$A$2:$A$601,Builders!$B125,'Title Contacts'!$B$2:$B$601,"*assistant*",'Title Contacts'!$C$2:$C$601,"&lt;&gt;")&gt;0,"OK","MISSING")))</f>
        <v/>
      </c>
      <c r="M128" s="31">
        <f>IF($A128="","",COUNTIF(B128:L128,"MISSING"))</f>
        <v/>
      </c>
    </row>
    <row r="129">
      <c r="A129" s="18">
        <f>IF(Builders!$A126="","",Builders!$A126)</f>
        <v/>
      </c>
      <c r="B129" s="31">
        <f>IF($A129="","",IF(Builders!$B126="","MISSING","OK"))</f>
        <v/>
      </c>
      <c r="C129" s="31">
        <f>IF($A129="","",IF(Builders!$C126="","MISSING","OK"))</f>
        <v/>
      </c>
      <c r="D129" s="31">
        <f>IF($A129="","",IF(Builders!$D126="","MISSING","OK"))</f>
        <v/>
      </c>
      <c r="E129" s="31">
        <f>IF($A129="","",IF(Builders!$F126="","MISSING","OK"))</f>
        <v/>
      </c>
      <c r="F129" s="31">
        <f>IF($A129="","",IF(COUNTIFS(Contacts!$A$2:$A$501,$A129,Contacts!$B$2:$B$501,"*Owner*")+COUNTIFS(Contacts!$A$2:$A$501,$A129,Contacts!$F$2:$F$501,"*owner*")=0,"MISSING","OK"))</f>
        <v/>
      </c>
      <c r="G129" s="31">
        <f>IF($A129="","",IF(COUNTIFS(Contacts!$A$2:$A$501,$A129,Contacts!$B$2:$B$501,"*Listing*")+COUNTIFS(Contacts!$A$2:$A$501,$A129,Contacts!$F$2:$F$501,"*listing agent*")=0,"MISSING","OK"))</f>
        <v/>
      </c>
      <c r="H129" s="31">
        <f>IF($A129="","",IF(COUNTIFS(Contacts!$A$2:$A$501,$A129,Contacts!$B$2:$B$501,"*Builder Rep*")+COUNTIFS(Contacts!$A$2:$A$501,$A129,Contacts!$B$2:$B$501,"Sales*")=0,"MISSING","OK"))</f>
        <v/>
      </c>
      <c r="I129" s="31">
        <f>IF($A129="","",IF(COUNTIFS(Contacts!$A$2:$A$501,$A129,Contacts!$B$2:$B$501,"*Docs*")+COUNTIFS(Contacts!$A$2:$A$501,$A129,Contacts!$F$2:$F$501,"*builder doc*")=0,"MISSING","OK"))</f>
        <v/>
      </c>
      <c r="J129" s="31">
        <f>IF($A129="","",IF(COUNTIFS(Contacts!$A$2:$A$501,$A129,Contacts!$B$2:$B$501,"*Appraisal*")+COUNTIFS(Contacts!$A$2:$A$501,$A129,Contacts!$F$2:$F$501,"*apprais*")=0,"MISSING","OK"))</f>
        <v/>
      </c>
      <c r="K129" s="31">
        <f>IF($A129="","",IF(Builders!$B126="","MISSING",IF(COUNTIFS('Title Contacts'!$A$2:$A$601,Builders!$B126,'Title Contacts'!$B$2:$B$601,"*agent*",'Title Contacts'!$C$2:$C$601,"&lt;&gt;")&gt;0,"OK","MISSING")))</f>
        <v/>
      </c>
      <c r="L129" s="31">
        <f>IF($A129="","",IF(Builders!$B126="","MISSING",IF(COUNTIFS('Title Contacts'!$A$2:$A$601,Builders!$B126,'Title Contacts'!$B$2:$B$601,"*assistant*",'Title Contacts'!$C$2:$C$601,"&lt;&gt;")&gt;0,"OK","MISSING")))</f>
        <v/>
      </c>
      <c r="M129" s="31">
        <f>IF($A129="","",COUNTIF(B129:L129,"MISSING"))</f>
        <v/>
      </c>
    </row>
    <row r="130">
      <c r="A130" s="18">
        <f>IF(Builders!$A127="","",Builders!$A127)</f>
        <v/>
      </c>
      <c r="B130" s="31">
        <f>IF($A130="","",IF(Builders!$B127="","MISSING","OK"))</f>
        <v/>
      </c>
      <c r="C130" s="31">
        <f>IF($A130="","",IF(Builders!$C127="","MISSING","OK"))</f>
        <v/>
      </c>
      <c r="D130" s="31">
        <f>IF($A130="","",IF(Builders!$D127="","MISSING","OK"))</f>
        <v/>
      </c>
      <c r="E130" s="31">
        <f>IF($A130="","",IF(Builders!$F127="","MISSING","OK"))</f>
        <v/>
      </c>
      <c r="F130" s="31">
        <f>IF($A130="","",IF(COUNTIFS(Contacts!$A$2:$A$501,$A130,Contacts!$B$2:$B$501,"*Owner*")+COUNTIFS(Contacts!$A$2:$A$501,$A130,Contacts!$F$2:$F$501,"*owner*")=0,"MISSING","OK"))</f>
        <v/>
      </c>
      <c r="G130" s="31">
        <f>IF($A130="","",IF(COUNTIFS(Contacts!$A$2:$A$501,$A130,Contacts!$B$2:$B$501,"*Listing*")+COUNTIFS(Contacts!$A$2:$A$501,$A130,Contacts!$F$2:$F$501,"*listing agent*")=0,"MISSING","OK"))</f>
        <v/>
      </c>
      <c r="H130" s="31">
        <f>IF($A130="","",IF(COUNTIFS(Contacts!$A$2:$A$501,$A130,Contacts!$B$2:$B$501,"*Builder Rep*")+COUNTIFS(Contacts!$A$2:$A$501,$A130,Contacts!$B$2:$B$501,"Sales*")=0,"MISSING","OK"))</f>
        <v/>
      </c>
      <c r="I130" s="31">
        <f>IF($A130="","",IF(COUNTIFS(Contacts!$A$2:$A$501,$A130,Contacts!$B$2:$B$501,"*Docs*")+COUNTIFS(Contacts!$A$2:$A$501,$A130,Contacts!$F$2:$F$501,"*builder doc*")=0,"MISSING","OK"))</f>
        <v/>
      </c>
      <c r="J130" s="31">
        <f>IF($A130="","",IF(COUNTIFS(Contacts!$A$2:$A$501,$A130,Contacts!$B$2:$B$501,"*Appraisal*")+COUNTIFS(Contacts!$A$2:$A$501,$A130,Contacts!$F$2:$F$501,"*apprais*")=0,"MISSING","OK"))</f>
        <v/>
      </c>
      <c r="K130" s="31">
        <f>IF($A130="","",IF(Builders!$B127="","MISSING",IF(COUNTIFS('Title Contacts'!$A$2:$A$601,Builders!$B127,'Title Contacts'!$B$2:$B$601,"*agent*",'Title Contacts'!$C$2:$C$601,"&lt;&gt;")&gt;0,"OK","MISSING")))</f>
        <v/>
      </c>
      <c r="L130" s="31">
        <f>IF($A130="","",IF(Builders!$B127="","MISSING",IF(COUNTIFS('Title Contacts'!$A$2:$A$601,Builders!$B127,'Title Contacts'!$B$2:$B$601,"*assistant*",'Title Contacts'!$C$2:$C$601,"&lt;&gt;")&gt;0,"OK","MISSING")))</f>
        <v/>
      </c>
      <c r="M130" s="31">
        <f>IF($A130="","",COUNTIF(B130:L130,"MISSING"))</f>
        <v/>
      </c>
    </row>
    <row r="131">
      <c r="A131" s="18">
        <f>IF(Builders!$A128="","",Builders!$A128)</f>
        <v/>
      </c>
      <c r="B131" s="31">
        <f>IF($A131="","",IF(Builders!$B128="","MISSING","OK"))</f>
        <v/>
      </c>
      <c r="C131" s="31">
        <f>IF($A131="","",IF(Builders!$C128="","MISSING","OK"))</f>
        <v/>
      </c>
      <c r="D131" s="31">
        <f>IF($A131="","",IF(Builders!$D128="","MISSING","OK"))</f>
        <v/>
      </c>
      <c r="E131" s="31">
        <f>IF($A131="","",IF(Builders!$F128="","MISSING","OK"))</f>
        <v/>
      </c>
      <c r="F131" s="31">
        <f>IF($A131="","",IF(COUNTIFS(Contacts!$A$2:$A$501,$A131,Contacts!$B$2:$B$501,"*Owner*")+COUNTIFS(Contacts!$A$2:$A$501,$A131,Contacts!$F$2:$F$501,"*owner*")=0,"MISSING","OK"))</f>
        <v/>
      </c>
      <c r="G131" s="31">
        <f>IF($A131="","",IF(COUNTIFS(Contacts!$A$2:$A$501,$A131,Contacts!$B$2:$B$501,"*Listing*")+COUNTIFS(Contacts!$A$2:$A$501,$A131,Contacts!$F$2:$F$501,"*listing agent*")=0,"MISSING","OK"))</f>
        <v/>
      </c>
      <c r="H131" s="31">
        <f>IF($A131="","",IF(COUNTIFS(Contacts!$A$2:$A$501,$A131,Contacts!$B$2:$B$501,"*Builder Rep*")+COUNTIFS(Contacts!$A$2:$A$501,$A131,Contacts!$B$2:$B$501,"Sales*")=0,"MISSING","OK"))</f>
        <v/>
      </c>
      <c r="I131" s="31">
        <f>IF($A131="","",IF(COUNTIFS(Contacts!$A$2:$A$501,$A131,Contacts!$B$2:$B$501,"*Docs*")+COUNTIFS(Contacts!$A$2:$A$501,$A131,Contacts!$F$2:$F$501,"*builder doc*")=0,"MISSING","OK"))</f>
        <v/>
      </c>
      <c r="J131" s="31">
        <f>IF($A131="","",IF(COUNTIFS(Contacts!$A$2:$A$501,$A131,Contacts!$B$2:$B$501,"*Appraisal*")+COUNTIFS(Contacts!$A$2:$A$501,$A131,Contacts!$F$2:$F$501,"*apprais*")=0,"MISSING","OK"))</f>
        <v/>
      </c>
      <c r="K131" s="31">
        <f>IF($A131="","",IF(Builders!$B128="","MISSING",IF(COUNTIFS('Title Contacts'!$A$2:$A$601,Builders!$B128,'Title Contacts'!$B$2:$B$601,"*agent*",'Title Contacts'!$C$2:$C$601,"&lt;&gt;")&gt;0,"OK","MISSING")))</f>
        <v/>
      </c>
      <c r="L131" s="31">
        <f>IF($A131="","",IF(Builders!$B128="","MISSING",IF(COUNTIFS('Title Contacts'!$A$2:$A$601,Builders!$B128,'Title Contacts'!$B$2:$B$601,"*assistant*",'Title Contacts'!$C$2:$C$601,"&lt;&gt;")&gt;0,"OK","MISSING")))</f>
        <v/>
      </c>
      <c r="M131" s="31">
        <f>IF($A131="","",COUNTIF(B131:L131,"MISSING"))</f>
        <v/>
      </c>
    </row>
    <row r="132">
      <c r="A132" s="18">
        <f>IF(Builders!$A129="","",Builders!$A129)</f>
        <v/>
      </c>
      <c r="B132" s="31">
        <f>IF($A132="","",IF(Builders!$B129="","MISSING","OK"))</f>
        <v/>
      </c>
      <c r="C132" s="31">
        <f>IF($A132="","",IF(Builders!$C129="","MISSING","OK"))</f>
        <v/>
      </c>
      <c r="D132" s="31">
        <f>IF($A132="","",IF(Builders!$D129="","MISSING","OK"))</f>
        <v/>
      </c>
      <c r="E132" s="31">
        <f>IF($A132="","",IF(Builders!$F129="","MISSING","OK"))</f>
        <v/>
      </c>
      <c r="F132" s="31">
        <f>IF($A132="","",IF(COUNTIFS(Contacts!$A$2:$A$501,$A132,Contacts!$B$2:$B$501,"*Owner*")+COUNTIFS(Contacts!$A$2:$A$501,$A132,Contacts!$F$2:$F$501,"*owner*")=0,"MISSING","OK"))</f>
        <v/>
      </c>
      <c r="G132" s="31">
        <f>IF($A132="","",IF(COUNTIFS(Contacts!$A$2:$A$501,$A132,Contacts!$B$2:$B$501,"*Listing*")+COUNTIFS(Contacts!$A$2:$A$501,$A132,Contacts!$F$2:$F$501,"*listing agent*")=0,"MISSING","OK"))</f>
        <v/>
      </c>
      <c r="H132" s="31">
        <f>IF($A132="","",IF(COUNTIFS(Contacts!$A$2:$A$501,$A132,Contacts!$B$2:$B$501,"*Builder Rep*")+COUNTIFS(Contacts!$A$2:$A$501,$A132,Contacts!$B$2:$B$501,"Sales*")=0,"MISSING","OK"))</f>
        <v/>
      </c>
      <c r="I132" s="31">
        <f>IF($A132="","",IF(COUNTIFS(Contacts!$A$2:$A$501,$A132,Contacts!$B$2:$B$501,"*Docs*")+COUNTIFS(Contacts!$A$2:$A$501,$A132,Contacts!$F$2:$F$501,"*builder doc*")=0,"MISSING","OK"))</f>
        <v/>
      </c>
      <c r="J132" s="31">
        <f>IF($A132="","",IF(COUNTIFS(Contacts!$A$2:$A$501,$A132,Contacts!$B$2:$B$501,"*Appraisal*")+COUNTIFS(Contacts!$A$2:$A$501,$A132,Contacts!$F$2:$F$501,"*apprais*")=0,"MISSING","OK"))</f>
        <v/>
      </c>
      <c r="K132" s="31">
        <f>IF($A132="","",IF(Builders!$B129="","MISSING",IF(COUNTIFS('Title Contacts'!$A$2:$A$601,Builders!$B129,'Title Contacts'!$B$2:$B$601,"*agent*",'Title Contacts'!$C$2:$C$601,"&lt;&gt;")&gt;0,"OK","MISSING")))</f>
        <v/>
      </c>
      <c r="L132" s="31">
        <f>IF($A132="","",IF(Builders!$B129="","MISSING",IF(COUNTIFS('Title Contacts'!$A$2:$A$601,Builders!$B129,'Title Contacts'!$B$2:$B$601,"*assistant*",'Title Contacts'!$C$2:$C$601,"&lt;&gt;")&gt;0,"OK","MISSING")))</f>
        <v/>
      </c>
      <c r="M132" s="31">
        <f>IF($A132="","",COUNTIF(B132:L132,"MISSING"))</f>
        <v/>
      </c>
    </row>
    <row r="133">
      <c r="A133" s="18">
        <f>IF(Builders!$A130="","",Builders!$A130)</f>
        <v/>
      </c>
      <c r="B133" s="31">
        <f>IF($A133="","",IF(Builders!$B130="","MISSING","OK"))</f>
        <v/>
      </c>
      <c r="C133" s="31">
        <f>IF($A133="","",IF(Builders!$C130="","MISSING","OK"))</f>
        <v/>
      </c>
      <c r="D133" s="31">
        <f>IF($A133="","",IF(Builders!$D130="","MISSING","OK"))</f>
        <v/>
      </c>
      <c r="E133" s="31">
        <f>IF($A133="","",IF(Builders!$F130="","MISSING","OK"))</f>
        <v/>
      </c>
      <c r="F133" s="31">
        <f>IF($A133="","",IF(COUNTIFS(Contacts!$A$2:$A$501,$A133,Contacts!$B$2:$B$501,"*Owner*")+COUNTIFS(Contacts!$A$2:$A$501,$A133,Contacts!$F$2:$F$501,"*owner*")=0,"MISSING","OK"))</f>
        <v/>
      </c>
      <c r="G133" s="31">
        <f>IF($A133="","",IF(COUNTIFS(Contacts!$A$2:$A$501,$A133,Contacts!$B$2:$B$501,"*Listing*")+COUNTIFS(Contacts!$A$2:$A$501,$A133,Contacts!$F$2:$F$501,"*listing agent*")=0,"MISSING","OK"))</f>
        <v/>
      </c>
      <c r="H133" s="31">
        <f>IF($A133="","",IF(COUNTIFS(Contacts!$A$2:$A$501,$A133,Contacts!$B$2:$B$501,"*Builder Rep*")+COUNTIFS(Contacts!$A$2:$A$501,$A133,Contacts!$B$2:$B$501,"Sales*")=0,"MISSING","OK"))</f>
        <v/>
      </c>
      <c r="I133" s="31">
        <f>IF($A133="","",IF(COUNTIFS(Contacts!$A$2:$A$501,$A133,Contacts!$B$2:$B$501,"*Docs*")+COUNTIFS(Contacts!$A$2:$A$501,$A133,Contacts!$F$2:$F$501,"*builder doc*")=0,"MISSING","OK"))</f>
        <v/>
      </c>
      <c r="J133" s="31">
        <f>IF($A133="","",IF(COUNTIFS(Contacts!$A$2:$A$501,$A133,Contacts!$B$2:$B$501,"*Appraisal*")+COUNTIFS(Contacts!$A$2:$A$501,$A133,Contacts!$F$2:$F$501,"*apprais*")=0,"MISSING","OK"))</f>
        <v/>
      </c>
      <c r="K133" s="31">
        <f>IF($A133="","",IF(Builders!$B130="","MISSING",IF(COUNTIFS('Title Contacts'!$A$2:$A$601,Builders!$B130,'Title Contacts'!$B$2:$B$601,"*agent*",'Title Contacts'!$C$2:$C$601,"&lt;&gt;")&gt;0,"OK","MISSING")))</f>
        <v/>
      </c>
      <c r="L133" s="31">
        <f>IF($A133="","",IF(Builders!$B130="","MISSING",IF(COUNTIFS('Title Contacts'!$A$2:$A$601,Builders!$B130,'Title Contacts'!$B$2:$B$601,"*assistant*",'Title Contacts'!$C$2:$C$601,"&lt;&gt;")&gt;0,"OK","MISSING")))</f>
        <v/>
      </c>
      <c r="M133" s="31">
        <f>IF($A133="","",COUNTIF(B133:L133,"MISSING"))</f>
        <v/>
      </c>
    </row>
    <row r="134">
      <c r="A134" s="18">
        <f>IF(Builders!$A131="","",Builders!$A131)</f>
        <v/>
      </c>
      <c r="B134" s="31">
        <f>IF($A134="","",IF(Builders!$B131="","MISSING","OK"))</f>
        <v/>
      </c>
      <c r="C134" s="31">
        <f>IF($A134="","",IF(Builders!$C131="","MISSING","OK"))</f>
        <v/>
      </c>
      <c r="D134" s="31">
        <f>IF($A134="","",IF(Builders!$D131="","MISSING","OK"))</f>
        <v/>
      </c>
      <c r="E134" s="31">
        <f>IF($A134="","",IF(Builders!$F131="","MISSING","OK"))</f>
        <v/>
      </c>
      <c r="F134" s="31">
        <f>IF($A134="","",IF(COUNTIFS(Contacts!$A$2:$A$501,$A134,Contacts!$B$2:$B$501,"*Owner*")+COUNTIFS(Contacts!$A$2:$A$501,$A134,Contacts!$F$2:$F$501,"*owner*")=0,"MISSING","OK"))</f>
        <v/>
      </c>
      <c r="G134" s="31">
        <f>IF($A134="","",IF(COUNTIFS(Contacts!$A$2:$A$501,$A134,Contacts!$B$2:$B$501,"*Listing*")+COUNTIFS(Contacts!$A$2:$A$501,$A134,Contacts!$F$2:$F$501,"*listing agent*")=0,"MISSING","OK"))</f>
        <v/>
      </c>
      <c r="H134" s="31">
        <f>IF($A134="","",IF(COUNTIFS(Contacts!$A$2:$A$501,$A134,Contacts!$B$2:$B$501,"*Builder Rep*")+COUNTIFS(Contacts!$A$2:$A$501,$A134,Contacts!$B$2:$B$501,"Sales*")=0,"MISSING","OK"))</f>
        <v/>
      </c>
      <c r="I134" s="31">
        <f>IF($A134="","",IF(COUNTIFS(Contacts!$A$2:$A$501,$A134,Contacts!$B$2:$B$501,"*Docs*")+COUNTIFS(Contacts!$A$2:$A$501,$A134,Contacts!$F$2:$F$501,"*builder doc*")=0,"MISSING","OK"))</f>
        <v/>
      </c>
      <c r="J134" s="31">
        <f>IF($A134="","",IF(COUNTIFS(Contacts!$A$2:$A$501,$A134,Contacts!$B$2:$B$501,"*Appraisal*")+COUNTIFS(Contacts!$A$2:$A$501,$A134,Contacts!$F$2:$F$501,"*apprais*")=0,"MISSING","OK"))</f>
        <v/>
      </c>
      <c r="K134" s="31">
        <f>IF($A134="","",IF(Builders!$B131="","MISSING",IF(COUNTIFS('Title Contacts'!$A$2:$A$601,Builders!$B131,'Title Contacts'!$B$2:$B$601,"*agent*",'Title Contacts'!$C$2:$C$601,"&lt;&gt;")&gt;0,"OK","MISSING")))</f>
        <v/>
      </c>
      <c r="L134" s="31">
        <f>IF($A134="","",IF(Builders!$B131="","MISSING",IF(COUNTIFS('Title Contacts'!$A$2:$A$601,Builders!$B131,'Title Contacts'!$B$2:$B$601,"*assistant*",'Title Contacts'!$C$2:$C$601,"&lt;&gt;")&gt;0,"OK","MISSING")))</f>
        <v/>
      </c>
      <c r="M134" s="31">
        <f>IF($A134="","",COUNTIF(B134:L134,"MISSING"))</f>
        <v/>
      </c>
    </row>
    <row r="135">
      <c r="A135" s="18">
        <f>IF(Builders!$A132="","",Builders!$A132)</f>
        <v/>
      </c>
      <c r="B135" s="31">
        <f>IF($A135="","",IF(Builders!$B132="","MISSING","OK"))</f>
        <v/>
      </c>
      <c r="C135" s="31">
        <f>IF($A135="","",IF(Builders!$C132="","MISSING","OK"))</f>
        <v/>
      </c>
      <c r="D135" s="31">
        <f>IF($A135="","",IF(Builders!$D132="","MISSING","OK"))</f>
        <v/>
      </c>
      <c r="E135" s="31">
        <f>IF($A135="","",IF(Builders!$F132="","MISSING","OK"))</f>
        <v/>
      </c>
      <c r="F135" s="31">
        <f>IF($A135="","",IF(COUNTIFS(Contacts!$A$2:$A$501,$A135,Contacts!$B$2:$B$501,"*Owner*")+COUNTIFS(Contacts!$A$2:$A$501,$A135,Contacts!$F$2:$F$501,"*owner*")=0,"MISSING","OK"))</f>
        <v/>
      </c>
      <c r="G135" s="31">
        <f>IF($A135="","",IF(COUNTIFS(Contacts!$A$2:$A$501,$A135,Contacts!$B$2:$B$501,"*Listing*")+COUNTIFS(Contacts!$A$2:$A$501,$A135,Contacts!$F$2:$F$501,"*listing agent*")=0,"MISSING","OK"))</f>
        <v/>
      </c>
      <c r="H135" s="31">
        <f>IF($A135="","",IF(COUNTIFS(Contacts!$A$2:$A$501,$A135,Contacts!$B$2:$B$501,"*Builder Rep*")+COUNTIFS(Contacts!$A$2:$A$501,$A135,Contacts!$B$2:$B$501,"Sales*")=0,"MISSING","OK"))</f>
        <v/>
      </c>
      <c r="I135" s="31">
        <f>IF($A135="","",IF(COUNTIFS(Contacts!$A$2:$A$501,$A135,Contacts!$B$2:$B$501,"*Docs*")+COUNTIFS(Contacts!$A$2:$A$501,$A135,Contacts!$F$2:$F$501,"*builder doc*")=0,"MISSING","OK"))</f>
        <v/>
      </c>
      <c r="J135" s="31">
        <f>IF($A135="","",IF(COUNTIFS(Contacts!$A$2:$A$501,$A135,Contacts!$B$2:$B$501,"*Appraisal*")+COUNTIFS(Contacts!$A$2:$A$501,$A135,Contacts!$F$2:$F$501,"*apprais*")=0,"MISSING","OK"))</f>
        <v/>
      </c>
      <c r="K135" s="31">
        <f>IF($A135="","",IF(Builders!$B132="","MISSING",IF(COUNTIFS('Title Contacts'!$A$2:$A$601,Builders!$B132,'Title Contacts'!$B$2:$B$601,"*agent*",'Title Contacts'!$C$2:$C$601,"&lt;&gt;")&gt;0,"OK","MISSING")))</f>
        <v/>
      </c>
      <c r="L135" s="31">
        <f>IF($A135="","",IF(Builders!$B132="","MISSING",IF(COUNTIFS('Title Contacts'!$A$2:$A$601,Builders!$B132,'Title Contacts'!$B$2:$B$601,"*assistant*",'Title Contacts'!$C$2:$C$601,"&lt;&gt;")&gt;0,"OK","MISSING")))</f>
        <v/>
      </c>
      <c r="M135" s="31">
        <f>IF($A135="","",COUNTIF(B135:L135,"MISSING"))</f>
        <v/>
      </c>
    </row>
    <row r="136">
      <c r="A136" s="18">
        <f>IF(Builders!$A133="","",Builders!$A133)</f>
        <v/>
      </c>
      <c r="B136" s="31">
        <f>IF($A136="","",IF(Builders!$B133="","MISSING","OK"))</f>
        <v/>
      </c>
      <c r="C136" s="31">
        <f>IF($A136="","",IF(Builders!$C133="","MISSING","OK"))</f>
        <v/>
      </c>
      <c r="D136" s="31">
        <f>IF($A136="","",IF(Builders!$D133="","MISSING","OK"))</f>
        <v/>
      </c>
      <c r="E136" s="31">
        <f>IF($A136="","",IF(Builders!$F133="","MISSING","OK"))</f>
        <v/>
      </c>
      <c r="F136" s="31">
        <f>IF($A136="","",IF(COUNTIFS(Contacts!$A$2:$A$501,$A136,Contacts!$B$2:$B$501,"*Owner*")+COUNTIFS(Contacts!$A$2:$A$501,$A136,Contacts!$F$2:$F$501,"*owner*")=0,"MISSING","OK"))</f>
        <v/>
      </c>
      <c r="G136" s="31">
        <f>IF($A136="","",IF(COUNTIFS(Contacts!$A$2:$A$501,$A136,Contacts!$B$2:$B$501,"*Listing*")+COUNTIFS(Contacts!$A$2:$A$501,$A136,Contacts!$F$2:$F$501,"*listing agent*")=0,"MISSING","OK"))</f>
        <v/>
      </c>
      <c r="H136" s="31">
        <f>IF($A136="","",IF(COUNTIFS(Contacts!$A$2:$A$501,$A136,Contacts!$B$2:$B$501,"*Builder Rep*")+COUNTIFS(Contacts!$A$2:$A$501,$A136,Contacts!$B$2:$B$501,"Sales*")=0,"MISSING","OK"))</f>
        <v/>
      </c>
      <c r="I136" s="31">
        <f>IF($A136="","",IF(COUNTIFS(Contacts!$A$2:$A$501,$A136,Contacts!$B$2:$B$501,"*Docs*")+COUNTIFS(Contacts!$A$2:$A$501,$A136,Contacts!$F$2:$F$501,"*builder doc*")=0,"MISSING","OK"))</f>
        <v/>
      </c>
      <c r="J136" s="31">
        <f>IF($A136="","",IF(COUNTIFS(Contacts!$A$2:$A$501,$A136,Contacts!$B$2:$B$501,"*Appraisal*")+COUNTIFS(Contacts!$A$2:$A$501,$A136,Contacts!$F$2:$F$501,"*apprais*")=0,"MISSING","OK"))</f>
        <v/>
      </c>
      <c r="K136" s="31">
        <f>IF($A136="","",IF(Builders!$B133="","MISSING",IF(COUNTIFS('Title Contacts'!$A$2:$A$601,Builders!$B133,'Title Contacts'!$B$2:$B$601,"*agent*",'Title Contacts'!$C$2:$C$601,"&lt;&gt;")&gt;0,"OK","MISSING")))</f>
        <v/>
      </c>
      <c r="L136" s="31">
        <f>IF($A136="","",IF(Builders!$B133="","MISSING",IF(COUNTIFS('Title Contacts'!$A$2:$A$601,Builders!$B133,'Title Contacts'!$B$2:$B$601,"*assistant*",'Title Contacts'!$C$2:$C$601,"&lt;&gt;")&gt;0,"OK","MISSING")))</f>
        <v/>
      </c>
      <c r="M136" s="31">
        <f>IF($A136="","",COUNTIF(B136:L136,"MISSING"))</f>
        <v/>
      </c>
    </row>
    <row r="137">
      <c r="A137" s="18">
        <f>IF(Builders!$A134="","",Builders!$A134)</f>
        <v/>
      </c>
      <c r="B137" s="31">
        <f>IF($A137="","",IF(Builders!$B134="","MISSING","OK"))</f>
        <v/>
      </c>
      <c r="C137" s="31">
        <f>IF($A137="","",IF(Builders!$C134="","MISSING","OK"))</f>
        <v/>
      </c>
      <c r="D137" s="31">
        <f>IF($A137="","",IF(Builders!$D134="","MISSING","OK"))</f>
        <v/>
      </c>
      <c r="E137" s="31">
        <f>IF($A137="","",IF(Builders!$F134="","MISSING","OK"))</f>
        <v/>
      </c>
      <c r="F137" s="31">
        <f>IF($A137="","",IF(COUNTIFS(Contacts!$A$2:$A$501,$A137,Contacts!$B$2:$B$501,"*Owner*")+COUNTIFS(Contacts!$A$2:$A$501,$A137,Contacts!$F$2:$F$501,"*owner*")=0,"MISSING","OK"))</f>
        <v/>
      </c>
      <c r="G137" s="31">
        <f>IF($A137="","",IF(COUNTIFS(Contacts!$A$2:$A$501,$A137,Contacts!$B$2:$B$501,"*Listing*")+COUNTIFS(Contacts!$A$2:$A$501,$A137,Contacts!$F$2:$F$501,"*listing agent*")=0,"MISSING","OK"))</f>
        <v/>
      </c>
      <c r="H137" s="31">
        <f>IF($A137="","",IF(COUNTIFS(Contacts!$A$2:$A$501,$A137,Contacts!$B$2:$B$501,"*Builder Rep*")+COUNTIFS(Contacts!$A$2:$A$501,$A137,Contacts!$B$2:$B$501,"Sales*")=0,"MISSING","OK"))</f>
        <v/>
      </c>
      <c r="I137" s="31">
        <f>IF($A137="","",IF(COUNTIFS(Contacts!$A$2:$A$501,$A137,Contacts!$B$2:$B$501,"*Docs*")+COUNTIFS(Contacts!$A$2:$A$501,$A137,Contacts!$F$2:$F$501,"*builder doc*")=0,"MISSING","OK"))</f>
        <v/>
      </c>
      <c r="J137" s="31">
        <f>IF($A137="","",IF(COUNTIFS(Contacts!$A$2:$A$501,$A137,Contacts!$B$2:$B$501,"*Appraisal*")+COUNTIFS(Contacts!$A$2:$A$501,$A137,Contacts!$F$2:$F$501,"*apprais*")=0,"MISSING","OK"))</f>
        <v/>
      </c>
      <c r="K137" s="31">
        <f>IF($A137="","",IF(Builders!$B134="","MISSING",IF(COUNTIFS('Title Contacts'!$A$2:$A$601,Builders!$B134,'Title Contacts'!$B$2:$B$601,"*agent*",'Title Contacts'!$C$2:$C$601,"&lt;&gt;")&gt;0,"OK","MISSING")))</f>
        <v/>
      </c>
      <c r="L137" s="31">
        <f>IF($A137="","",IF(Builders!$B134="","MISSING",IF(COUNTIFS('Title Contacts'!$A$2:$A$601,Builders!$B134,'Title Contacts'!$B$2:$B$601,"*assistant*",'Title Contacts'!$C$2:$C$601,"&lt;&gt;")&gt;0,"OK","MISSING")))</f>
        <v/>
      </c>
      <c r="M137" s="31">
        <f>IF($A137="","",COUNTIF(B137:L137,"MISSING"))</f>
        <v/>
      </c>
    </row>
    <row r="138">
      <c r="A138" s="18">
        <f>IF(Builders!$A135="","",Builders!$A135)</f>
        <v/>
      </c>
      <c r="B138" s="31">
        <f>IF($A138="","",IF(Builders!$B135="","MISSING","OK"))</f>
        <v/>
      </c>
      <c r="C138" s="31">
        <f>IF($A138="","",IF(Builders!$C135="","MISSING","OK"))</f>
        <v/>
      </c>
      <c r="D138" s="31">
        <f>IF($A138="","",IF(Builders!$D135="","MISSING","OK"))</f>
        <v/>
      </c>
      <c r="E138" s="31">
        <f>IF($A138="","",IF(Builders!$F135="","MISSING","OK"))</f>
        <v/>
      </c>
      <c r="F138" s="31">
        <f>IF($A138="","",IF(COUNTIFS(Contacts!$A$2:$A$501,$A138,Contacts!$B$2:$B$501,"*Owner*")+COUNTIFS(Contacts!$A$2:$A$501,$A138,Contacts!$F$2:$F$501,"*owner*")=0,"MISSING","OK"))</f>
        <v/>
      </c>
      <c r="G138" s="31">
        <f>IF($A138="","",IF(COUNTIFS(Contacts!$A$2:$A$501,$A138,Contacts!$B$2:$B$501,"*Listing*")+COUNTIFS(Contacts!$A$2:$A$501,$A138,Contacts!$F$2:$F$501,"*listing agent*")=0,"MISSING","OK"))</f>
        <v/>
      </c>
      <c r="H138" s="31">
        <f>IF($A138="","",IF(COUNTIFS(Contacts!$A$2:$A$501,$A138,Contacts!$B$2:$B$501,"*Builder Rep*")+COUNTIFS(Contacts!$A$2:$A$501,$A138,Contacts!$B$2:$B$501,"Sales*")=0,"MISSING","OK"))</f>
        <v/>
      </c>
      <c r="I138" s="31">
        <f>IF($A138="","",IF(COUNTIFS(Contacts!$A$2:$A$501,$A138,Contacts!$B$2:$B$501,"*Docs*")+COUNTIFS(Contacts!$A$2:$A$501,$A138,Contacts!$F$2:$F$501,"*builder doc*")=0,"MISSING","OK"))</f>
        <v/>
      </c>
      <c r="J138" s="31">
        <f>IF($A138="","",IF(COUNTIFS(Contacts!$A$2:$A$501,$A138,Contacts!$B$2:$B$501,"*Appraisal*")+COUNTIFS(Contacts!$A$2:$A$501,$A138,Contacts!$F$2:$F$501,"*apprais*")=0,"MISSING","OK"))</f>
        <v/>
      </c>
      <c r="K138" s="31">
        <f>IF($A138="","",IF(Builders!$B135="","MISSING",IF(COUNTIFS('Title Contacts'!$A$2:$A$601,Builders!$B135,'Title Contacts'!$B$2:$B$601,"*agent*",'Title Contacts'!$C$2:$C$601,"&lt;&gt;")&gt;0,"OK","MISSING")))</f>
        <v/>
      </c>
      <c r="L138" s="31">
        <f>IF($A138="","",IF(Builders!$B135="","MISSING",IF(COUNTIFS('Title Contacts'!$A$2:$A$601,Builders!$B135,'Title Contacts'!$B$2:$B$601,"*assistant*",'Title Contacts'!$C$2:$C$601,"&lt;&gt;")&gt;0,"OK","MISSING")))</f>
        <v/>
      </c>
      <c r="M138" s="31">
        <f>IF($A138="","",COUNTIF(B138:L138,"MISSING"))</f>
        <v/>
      </c>
    </row>
    <row r="139">
      <c r="A139" s="18">
        <f>IF(Builders!$A136="","",Builders!$A136)</f>
        <v/>
      </c>
      <c r="B139" s="31">
        <f>IF($A139="","",IF(Builders!$B136="","MISSING","OK"))</f>
        <v/>
      </c>
      <c r="C139" s="31">
        <f>IF($A139="","",IF(Builders!$C136="","MISSING","OK"))</f>
        <v/>
      </c>
      <c r="D139" s="31">
        <f>IF($A139="","",IF(Builders!$D136="","MISSING","OK"))</f>
        <v/>
      </c>
      <c r="E139" s="31">
        <f>IF($A139="","",IF(Builders!$F136="","MISSING","OK"))</f>
        <v/>
      </c>
      <c r="F139" s="31">
        <f>IF($A139="","",IF(COUNTIFS(Contacts!$A$2:$A$501,$A139,Contacts!$B$2:$B$501,"*Owner*")+COUNTIFS(Contacts!$A$2:$A$501,$A139,Contacts!$F$2:$F$501,"*owner*")=0,"MISSING","OK"))</f>
        <v/>
      </c>
      <c r="G139" s="31">
        <f>IF($A139="","",IF(COUNTIFS(Contacts!$A$2:$A$501,$A139,Contacts!$B$2:$B$501,"*Listing*")+COUNTIFS(Contacts!$A$2:$A$501,$A139,Contacts!$F$2:$F$501,"*listing agent*")=0,"MISSING","OK"))</f>
        <v/>
      </c>
      <c r="H139" s="31">
        <f>IF($A139="","",IF(COUNTIFS(Contacts!$A$2:$A$501,$A139,Contacts!$B$2:$B$501,"*Builder Rep*")+COUNTIFS(Contacts!$A$2:$A$501,$A139,Contacts!$B$2:$B$501,"Sales*")=0,"MISSING","OK"))</f>
        <v/>
      </c>
      <c r="I139" s="31">
        <f>IF($A139="","",IF(COUNTIFS(Contacts!$A$2:$A$501,$A139,Contacts!$B$2:$B$501,"*Docs*")+COUNTIFS(Contacts!$A$2:$A$501,$A139,Contacts!$F$2:$F$501,"*builder doc*")=0,"MISSING","OK"))</f>
        <v/>
      </c>
      <c r="J139" s="31">
        <f>IF($A139="","",IF(COUNTIFS(Contacts!$A$2:$A$501,$A139,Contacts!$B$2:$B$501,"*Appraisal*")+COUNTIFS(Contacts!$A$2:$A$501,$A139,Contacts!$F$2:$F$501,"*apprais*")=0,"MISSING","OK"))</f>
        <v/>
      </c>
      <c r="K139" s="31">
        <f>IF($A139="","",IF(Builders!$B136="","MISSING",IF(COUNTIFS('Title Contacts'!$A$2:$A$601,Builders!$B136,'Title Contacts'!$B$2:$B$601,"*agent*",'Title Contacts'!$C$2:$C$601,"&lt;&gt;")&gt;0,"OK","MISSING")))</f>
        <v/>
      </c>
      <c r="L139" s="31">
        <f>IF($A139="","",IF(Builders!$B136="","MISSING",IF(COUNTIFS('Title Contacts'!$A$2:$A$601,Builders!$B136,'Title Contacts'!$B$2:$B$601,"*assistant*",'Title Contacts'!$C$2:$C$601,"&lt;&gt;")&gt;0,"OK","MISSING")))</f>
        <v/>
      </c>
      <c r="M139" s="31">
        <f>IF($A139="","",COUNTIF(B139:L139,"MISSING"))</f>
        <v/>
      </c>
    </row>
    <row r="140">
      <c r="A140" s="18">
        <f>IF(Builders!$A137="","",Builders!$A137)</f>
        <v/>
      </c>
      <c r="B140" s="31">
        <f>IF($A140="","",IF(Builders!$B137="","MISSING","OK"))</f>
        <v/>
      </c>
      <c r="C140" s="31">
        <f>IF($A140="","",IF(Builders!$C137="","MISSING","OK"))</f>
        <v/>
      </c>
      <c r="D140" s="31">
        <f>IF($A140="","",IF(Builders!$D137="","MISSING","OK"))</f>
        <v/>
      </c>
      <c r="E140" s="31">
        <f>IF($A140="","",IF(Builders!$F137="","MISSING","OK"))</f>
        <v/>
      </c>
      <c r="F140" s="31">
        <f>IF($A140="","",IF(COUNTIFS(Contacts!$A$2:$A$501,$A140,Contacts!$B$2:$B$501,"*Owner*")+COUNTIFS(Contacts!$A$2:$A$501,$A140,Contacts!$F$2:$F$501,"*owner*")=0,"MISSING","OK"))</f>
        <v/>
      </c>
      <c r="G140" s="31">
        <f>IF($A140="","",IF(COUNTIFS(Contacts!$A$2:$A$501,$A140,Contacts!$B$2:$B$501,"*Listing*")+COUNTIFS(Contacts!$A$2:$A$501,$A140,Contacts!$F$2:$F$501,"*listing agent*")=0,"MISSING","OK"))</f>
        <v/>
      </c>
      <c r="H140" s="31">
        <f>IF($A140="","",IF(COUNTIFS(Contacts!$A$2:$A$501,$A140,Contacts!$B$2:$B$501,"*Builder Rep*")+COUNTIFS(Contacts!$A$2:$A$501,$A140,Contacts!$B$2:$B$501,"Sales*")=0,"MISSING","OK"))</f>
        <v/>
      </c>
      <c r="I140" s="31">
        <f>IF($A140="","",IF(COUNTIFS(Contacts!$A$2:$A$501,$A140,Contacts!$B$2:$B$501,"*Docs*")+COUNTIFS(Contacts!$A$2:$A$501,$A140,Contacts!$F$2:$F$501,"*builder doc*")=0,"MISSING","OK"))</f>
        <v/>
      </c>
      <c r="J140" s="31">
        <f>IF($A140="","",IF(COUNTIFS(Contacts!$A$2:$A$501,$A140,Contacts!$B$2:$B$501,"*Appraisal*")+COUNTIFS(Contacts!$A$2:$A$501,$A140,Contacts!$F$2:$F$501,"*apprais*")=0,"MISSING","OK"))</f>
        <v/>
      </c>
      <c r="K140" s="31">
        <f>IF($A140="","",IF(Builders!$B137="","MISSING",IF(COUNTIFS('Title Contacts'!$A$2:$A$601,Builders!$B137,'Title Contacts'!$B$2:$B$601,"*agent*",'Title Contacts'!$C$2:$C$601,"&lt;&gt;")&gt;0,"OK","MISSING")))</f>
        <v/>
      </c>
      <c r="L140" s="31">
        <f>IF($A140="","",IF(Builders!$B137="","MISSING",IF(COUNTIFS('Title Contacts'!$A$2:$A$601,Builders!$B137,'Title Contacts'!$B$2:$B$601,"*assistant*",'Title Contacts'!$C$2:$C$601,"&lt;&gt;")&gt;0,"OK","MISSING")))</f>
        <v/>
      </c>
      <c r="M140" s="31">
        <f>IF($A140="","",COUNTIF(B140:L140,"MISSING"))</f>
        <v/>
      </c>
    </row>
    <row r="141">
      <c r="A141" s="18">
        <f>IF(Builders!$A138="","",Builders!$A138)</f>
        <v/>
      </c>
      <c r="B141" s="31">
        <f>IF($A141="","",IF(Builders!$B138="","MISSING","OK"))</f>
        <v/>
      </c>
      <c r="C141" s="31">
        <f>IF($A141="","",IF(Builders!$C138="","MISSING","OK"))</f>
        <v/>
      </c>
      <c r="D141" s="31">
        <f>IF($A141="","",IF(Builders!$D138="","MISSING","OK"))</f>
        <v/>
      </c>
      <c r="E141" s="31">
        <f>IF($A141="","",IF(Builders!$F138="","MISSING","OK"))</f>
        <v/>
      </c>
      <c r="F141" s="31">
        <f>IF($A141="","",IF(COUNTIFS(Contacts!$A$2:$A$501,$A141,Contacts!$B$2:$B$501,"*Owner*")+COUNTIFS(Contacts!$A$2:$A$501,$A141,Contacts!$F$2:$F$501,"*owner*")=0,"MISSING","OK"))</f>
        <v/>
      </c>
      <c r="G141" s="31">
        <f>IF($A141="","",IF(COUNTIFS(Contacts!$A$2:$A$501,$A141,Contacts!$B$2:$B$501,"*Listing*")+COUNTIFS(Contacts!$A$2:$A$501,$A141,Contacts!$F$2:$F$501,"*listing agent*")=0,"MISSING","OK"))</f>
        <v/>
      </c>
      <c r="H141" s="31">
        <f>IF($A141="","",IF(COUNTIFS(Contacts!$A$2:$A$501,$A141,Contacts!$B$2:$B$501,"*Builder Rep*")+COUNTIFS(Contacts!$A$2:$A$501,$A141,Contacts!$B$2:$B$501,"Sales*")=0,"MISSING","OK"))</f>
        <v/>
      </c>
      <c r="I141" s="31">
        <f>IF($A141="","",IF(COUNTIFS(Contacts!$A$2:$A$501,$A141,Contacts!$B$2:$B$501,"*Docs*")+COUNTIFS(Contacts!$A$2:$A$501,$A141,Contacts!$F$2:$F$501,"*builder doc*")=0,"MISSING","OK"))</f>
        <v/>
      </c>
      <c r="J141" s="31">
        <f>IF($A141="","",IF(COUNTIFS(Contacts!$A$2:$A$501,$A141,Contacts!$B$2:$B$501,"*Appraisal*")+COUNTIFS(Contacts!$A$2:$A$501,$A141,Contacts!$F$2:$F$501,"*apprais*")=0,"MISSING","OK"))</f>
        <v/>
      </c>
      <c r="K141" s="31">
        <f>IF($A141="","",IF(Builders!$B138="","MISSING",IF(COUNTIFS('Title Contacts'!$A$2:$A$601,Builders!$B138,'Title Contacts'!$B$2:$B$601,"*agent*",'Title Contacts'!$C$2:$C$601,"&lt;&gt;")&gt;0,"OK","MISSING")))</f>
        <v/>
      </c>
      <c r="L141" s="31">
        <f>IF($A141="","",IF(Builders!$B138="","MISSING",IF(COUNTIFS('Title Contacts'!$A$2:$A$601,Builders!$B138,'Title Contacts'!$B$2:$B$601,"*assistant*",'Title Contacts'!$C$2:$C$601,"&lt;&gt;")&gt;0,"OK","MISSING")))</f>
        <v/>
      </c>
      <c r="M141" s="31">
        <f>IF($A141="","",COUNTIF(B141:L141,"MISSING"))</f>
        <v/>
      </c>
    </row>
    <row r="142">
      <c r="A142" s="18">
        <f>IF(Builders!$A139="","",Builders!$A139)</f>
        <v/>
      </c>
      <c r="B142" s="31">
        <f>IF($A142="","",IF(Builders!$B139="","MISSING","OK"))</f>
        <v/>
      </c>
      <c r="C142" s="31">
        <f>IF($A142="","",IF(Builders!$C139="","MISSING","OK"))</f>
        <v/>
      </c>
      <c r="D142" s="31">
        <f>IF($A142="","",IF(Builders!$D139="","MISSING","OK"))</f>
        <v/>
      </c>
      <c r="E142" s="31">
        <f>IF($A142="","",IF(Builders!$F139="","MISSING","OK"))</f>
        <v/>
      </c>
      <c r="F142" s="31">
        <f>IF($A142="","",IF(COUNTIFS(Contacts!$A$2:$A$501,$A142,Contacts!$B$2:$B$501,"*Owner*")+COUNTIFS(Contacts!$A$2:$A$501,$A142,Contacts!$F$2:$F$501,"*owner*")=0,"MISSING","OK"))</f>
        <v/>
      </c>
      <c r="G142" s="31">
        <f>IF($A142="","",IF(COUNTIFS(Contacts!$A$2:$A$501,$A142,Contacts!$B$2:$B$501,"*Listing*")+COUNTIFS(Contacts!$A$2:$A$501,$A142,Contacts!$F$2:$F$501,"*listing agent*")=0,"MISSING","OK"))</f>
        <v/>
      </c>
      <c r="H142" s="31">
        <f>IF($A142="","",IF(COUNTIFS(Contacts!$A$2:$A$501,$A142,Contacts!$B$2:$B$501,"*Builder Rep*")+COUNTIFS(Contacts!$A$2:$A$501,$A142,Contacts!$B$2:$B$501,"Sales*")=0,"MISSING","OK"))</f>
        <v/>
      </c>
      <c r="I142" s="31">
        <f>IF($A142="","",IF(COUNTIFS(Contacts!$A$2:$A$501,$A142,Contacts!$B$2:$B$501,"*Docs*")+COUNTIFS(Contacts!$A$2:$A$501,$A142,Contacts!$F$2:$F$501,"*builder doc*")=0,"MISSING","OK"))</f>
        <v/>
      </c>
      <c r="J142" s="31">
        <f>IF($A142="","",IF(COUNTIFS(Contacts!$A$2:$A$501,$A142,Contacts!$B$2:$B$501,"*Appraisal*")+COUNTIFS(Contacts!$A$2:$A$501,$A142,Contacts!$F$2:$F$501,"*apprais*")=0,"MISSING","OK"))</f>
        <v/>
      </c>
      <c r="K142" s="31">
        <f>IF($A142="","",IF(Builders!$B139="","MISSING",IF(COUNTIFS('Title Contacts'!$A$2:$A$601,Builders!$B139,'Title Contacts'!$B$2:$B$601,"*agent*",'Title Contacts'!$C$2:$C$601,"&lt;&gt;")&gt;0,"OK","MISSING")))</f>
        <v/>
      </c>
      <c r="L142" s="31">
        <f>IF($A142="","",IF(Builders!$B139="","MISSING",IF(COUNTIFS('Title Contacts'!$A$2:$A$601,Builders!$B139,'Title Contacts'!$B$2:$B$601,"*assistant*",'Title Contacts'!$C$2:$C$601,"&lt;&gt;")&gt;0,"OK","MISSING")))</f>
        <v/>
      </c>
      <c r="M142" s="31">
        <f>IF($A142="","",COUNTIF(B142:L142,"MISSING"))</f>
        <v/>
      </c>
    </row>
    <row r="143">
      <c r="A143" s="18">
        <f>IF(Builders!$A140="","",Builders!$A140)</f>
        <v/>
      </c>
      <c r="B143" s="31">
        <f>IF($A143="","",IF(Builders!$B140="","MISSING","OK"))</f>
        <v/>
      </c>
      <c r="C143" s="31">
        <f>IF($A143="","",IF(Builders!$C140="","MISSING","OK"))</f>
        <v/>
      </c>
      <c r="D143" s="31">
        <f>IF($A143="","",IF(Builders!$D140="","MISSING","OK"))</f>
        <v/>
      </c>
      <c r="E143" s="31">
        <f>IF($A143="","",IF(Builders!$F140="","MISSING","OK"))</f>
        <v/>
      </c>
      <c r="F143" s="31">
        <f>IF($A143="","",IF(COUNTIFS(Contacts!$A$2:$A$501,$A143,Contacts!$B$2:$B$501,"*Owner*")+COUNTIFS(Contacts!$A$2:$A$501,$A143,Contacts!$F$2:$F$501,"*owner*")=0,"MISSING","OK"))</f>
        <v/>
      </c>
      <c r="G143" s="31">
        <f>IF($A143="","",IF(COUNTIFS(Contacts!$A$2:$A$501,$A143,Contacts!$B$2:$B$501,"*Listing*")+COUNTIFS(Contacts!$A$2:$A$501,$A143,Contacts!$F$2:$F$501,"*listing agent*")=0,"MISSING","OK"))</f>
        <v/>
      </c>
      <c r="H143" s="31">
        <f>IF($A143="","",IF(COUNTIFS(Contacts!$A$2:$A$501,$A143,Contacts!$B$2:$B$501,"*Builder Rep*")+COUNTIFS(Contacts!$A$2:$A$501,$A143,Contacts!$B$2:$B$501,"Sales*")=0,"MISSING","OK"))</f>
        <v/>
      </c>
      <c r="I143" s="31">
        <f>IF($A143="","",IF(COUNTIFS(Contacts!$A$2:$A$501,$A143,Contacts!$B$2:$B$501,"*Docs*")+COUNTIFS(Contacts!$A$2:$A$501,$A143,Contacts!$F$2:$F$501,"*builder doc*")=0,"MISSING","OK"))</f>
        <v/>
      </c>
      <c r="J143" s="31">
        <f>IF($A143="","",IF(COUNTIFS(Contacts!$A$2:$A$501,$A143,Contacts!$B$2:$B$501,"*Appraisal*")+COUNTIFS(Contacts!$A$2:$A$501,$A143,Contacts!$F$2:$F$501,"*apprais*")=0,"MISSING","OK"))</f>
        <v/>
      </c>
      <c r="K143" s="31">
        <f>IF($A143="","",IF(Builders!$B140="","MISSING",IF(COUNTIFS('Title Contacts'!$A$2:$A$601,Builders!$B140,'Title Contacts'!$B$2:$B$601,"*agent*",'Title Contacts'!$C$2:$C$601,"&lt;&gt;")&gt;0,"OK","MISSING")))</f>
        <v/>
      </c>
      <c r="L143" s="31">
        <f>IF($A143="","",IF(Builders!$B140="","MISSING",IF(COUNTIFS('Title Contacts'!$A$2:$A$601,Builders!$B140,'Title Contacts'!$B$2:$B$601,"*assistant*",'Title Contacts'!$C$2:$C$601,"&lt;&gt;")&gt;0,"OK","MISSING")))</f>
        <v/>
      </c>
      <c r="M143" s="31">
        <f>IF($A143="","",COUNTIF(B143:L143,"MISSING"))</f>
        <v/>
      </c>
    </row>
    <row r="144">
      <c r="A144" s="18">
        <f>IF(Builders!$A141="","",Builders!$A141)</f>
        <v/>
      </c>
      <c r="B144" s="31">
        <f>IF($A144="","",IF(Builders!$B141="","MISSING","OK"))</f>
        <v/>
      </c>
      <c r="C144" s="31">
        <f>IF($A144="","",IF(Builders!$C141="","MISSING","OK"))</f>
        <v/>
      </c>
      <c r="D144" s="31">
        <f>IF($A144="","",IF(Builders!$D141="","MISSING","OK"))</f>
        <v/>
      </c>
      <c r="E144" s="31">
        <f>IF($A144="","",IF(Builders!$F141="","MISSING","OK"))</f>
        <v/>
      </c>
      <c r="F144" s="31">
        <f>IF($A144="","",IF(COUNTIFS(Contacts!$A$2:$A$501,$A144,Contacts!$B$2:$B$501,"*Owner*")+COUNTIFS(Contacts!$A$2:$A$501,$A144,Contacts!$F$2:$F$501,"*owner*")=0,"MISSING","OK"))</f>
        <v/>
      </c>
      <c r="G144" s="31">
        <f>IF($A144="","",IF(COUNTIFS(Contacts!$A$2:$A$501,$A144,Contacts!$B$2:$B$501,"*Listing*")+COUNTIFS(Contacts!$A$2:$A$501,$A144,Contacts!$F$2:$F$501,"*listing agent*")=0,"MISSING","OK"))</f>
        <v/>
      </c>
      <c r="H144" s="31">
        <f>IF($A144="","",IF(COUNTIFS(Contacts!$A$2:$A$501,$A144,Contacts!$B$2:$B$501,"*Builder Rep*")+COUNTIFS(Contacts!$A$2:$A$501,$A144,Contacts!$B$2:$B$501,"Sales*")=0,"MISSING","OK"))</f>
        <v/>
      </c>
      <c r="I144" s="31">
        <f>IF($A144="","",IF(COUNTIFS(Contacts!$A$2:$A$501,$A144,Contacts!$B$2:$B$501,"*Docs*")+COUNTIFS(Contacts!$A$2:$A$501,$A144,Contacts!$F$2:$F$501,"*builder doc*")=0,"MISSING","OK"))</f>
        <v/>
      </c>
      <c r="J144" s="31">
        <f>IF($A144="","",IF(COUNTIFS(Contacts!$A$2:$A$501,$A144,Contacts!$B$2:$B$501,"*Appraisal*")+COUNTIFS(Contacts!$A$2:$A$501,$A144,Contacts!$F$2:$F$501,"*apprais*")=0,"MISSING","OK"))</f>
        <v/>
      </c>
      <c r="K144" s="31">
        <f>IF($A144="","",IF(Builders!$B141="","MISSING",IF(COUNTIFS('Title Contacts'!$A$2:$A$601,Builders!$B141,'Title Contacts'!$B$2:$B$601,"*agent*",'Title Contacts'!$C$2:$C$601,"&lt;&gt;")&gt;0,"OK","MISSING")))</f>
        <v/>
      </c>
      <c r="L144" s="31">
        <f>IF($A144="","",IF(Builders!$B141="","MISSING",IF(COUNTIFS('Title Contacts'!$A$2:$A$601,Builders!$B141,'Title Contacts'!$B$2:$B$601,"*assistant*",'Title Contacts'!$C$2:$C$601,"&lt;&gt;")&gt;0,"OK","MISSING")))</f>
        <v/>
      </c>
      <c r="M144" s="31">
        <f>IF($A144="","",COUNTIF(B144:L144,"MISSING"))</f>
        <v/>
      </c>
    </row>
    <row r="145">
      <c r="A145" s="18">
        <f>IF(Builders!$A142="","",Builders!$A142)</f>
        <v/>
      </c>
      <c r="B145" s="31">
        <f>IF($A145="","",IF(Builders!$B142="","MISSING","OK"))</f>
        <v/>
      </c>
      <c r="C145" s="31">
        <f>IF($A145="","",IF(Builders!$C142="","MISSING","OK"))</f>
        <v/>
      </c>
      <c r="D145" s="31">
        <f>IF($A145="","",IF(Builders!$D142="","MISSING","OK"))</f>
        <v/>
      </c>
      <c r="E145" s="31">
        <f>IF($A145="","",IF(Builders!$F142="","MISSING","OK"))</f>
        <v/>
      </c>
      <c r="F145" s="31">
        <f>IF($A145="","",IF(COUNTIFS(Contacts!$A$2:$A$501,$A145,Contacts!$B$2:$B$501,"*Owner*")+COUNTIFS(Contacts!$A$2:$A$501,$A145,Contacts!$F$2:$F$501,"*owner*")=0,"MISSING","OK"))</f>
        <v/>
      </c>
      <c r="G145" s="31">
        <f>IF($A145="","",IF(COUNTIFS(Contacts!$A$2:$A$501,$A145,Contacts!$B$2:$B$501,"*Listing*")+COUNTIFS(Contacts!$A$2:$A$501,$A145,Contacts!$F$2:$F$501,"*listing agent*")=0,"MISSING","OK"))</f>
        <v/>
      </c>
      <c r="H145" s="31">
        <f>IF($A145="","",IF(COUNTIFS(Contacts!$A$2:$A$501,$A145,Contacts!$B$2:$B$501,"*Builder Rep*")+COUNTIFS(Contacts!$A$2:$A$501,$A145,Contacts!$B$2:$B$501,"Sales*")=0,"MISSING","OK"))</f>
        <v/>
      </c>
      <c r="I145" s="31">
        <f>IF($A145="","",IF(COUNTIFS(Contacts!$A$2:$A$501,$A145,Contacts!$B$2:$B$501,"*Docs*")+COUNTIFS(Contacts!$A$2:$A$501,$A145,Contacts!$F$2:$F$501,"*builder doc*")=0,"MISSING","OK"))</f>
        <v/>
      </c>
      <c r="J145" s="31">
        <f>IF($A145="","",IF(COUNTIFS(Contacts!$A$2:$A$501,$A145,Contacts!$B$2:$B$501,"*Appraisal*")+COUNTIFS(Contacts!$A$2:$A$501,$A145,Contacts!$F$2:$F$501,"*apprais*")=0,"MISSING","OK"))</f>
        <v/>
      </c>
      <c r="K145" s="31">
        <f>IF($A145="","",IF(Builders!$B142="","MISSING",IF(COUNTIFS('Title Contacts'!$A$2:$A$601,Builders!$B142,'Title Contacts'!$B$2:$B$601,"*agent*",'Title Contacts'!$C$2:$C$601,"&lt;&gt;")&gt;0,"OK","MISSING")))</f>
        <v/>
      </c>
      <c r="L145" s="31">
        <f>IF($A145="","",IF(Builders!$B142="","MISSING",IF(COUNTIFS('Title Contacts'!$A$2:$A$601,Builders!$B142,'Title Contacts'!$B$2:$B$601,"*assistant*",'Title Contacts'!$C$2:$C$601,"&lt;&gt;")&gt;0,"OK","MISSING")))</f>
        <v/>
      </c>
      <c r="M145" s="31">
        <f>IF($A145="","",COUNTIF(B145:L145,"MISSING"))</f>
        <v/>
      </c>
    </row>
    <row r="146">
      <c r="A146" s="18">
        <f>IF(Builders!$A143="","",Builders!$A143)</f>
        <v/>
      </c>
      <c r="B146" s="31">
        <f>IF($A146="","",IF(Builders!$B143="","MISSING","OK"))</f>
        <v/>
      </c>
      <c r="C146" s="31">
        <f>IF($A146="","",IF(Builders!$C143="","MISSING","OK"))</f>
        <v/>
      </c>
      <c r="D146" s="31">
        <f>IF($A146="","",IF(Builders!$D143="","MISSING","OK"))</f>
        <v/>
      </c>
      <c r="E146" s="31">
        <f>IF($A146="","",IF(Builders!$F143="","MISSING","OK"))</f>
        <v/>
      </c>
      <c r="F146" s="31">
        <f>IF($A146="","",IF(COUNTIFS(Contacts!$A$2:$A$501,$A146,Contacts!$B$2:$B$501,"*Owner*")+COUNTIFS(Contacts!$A$2:$A$501,$A146,Contacts!$F$2:$F$501,"*owner*")=0,"MISSING","OK"))</f>
        <v/>
      </c>
      <c r="G146" s="31">
        <f>IF($A146="","",IF(COUNTIFS(Contacts!$A$2:$A$501,$A146,Contacts!$B$2:$B$501,"*Listing*")+COUNTIFS(Contacts!$A$2:$A$501,$A146,Contacts!$F$2:$F$501,"*listing agent*")=0,"MISSING","OK"))</f>
        <v/>
      </c>
      <c r="H146" s="31">
        <f>IF($A146="","",IF(COUNTIFS(Contacts!$A$2:$A$501,$A146,Contacts!$B$2:$B$501,"*Builder Rep*")+COUNTIFS(Contacts!$A$2:$A$501,$A146,Contacts!$B$2:$B$501,"Sales*")=0,"MISSING","OK"))</f>
        <v/>
      </c>
      <c r="I146" s="31">
        <f>IF($A146="","",IF(COUNTIFS(Contacts!$A$2:$A$501,$A146,Contacts!$B$2:$B$501,"*Docs*")+COUNTIFS(Contacts!$A$2:$A$501,$A146,Contacts!$F$2:$F$501,"*builder doc*")=0,"MISSING","OK"))</f>
        <v/>
      </c>
      <c r="J146" s="31">
        <f>IF($A146="","",IF(COUNTIFS(Contacts!$A$2:$A$501,$A146,Contacts!$B$2:$B$501,"*Appraisal*")+COUNTIFS(Contacts!$A$2:$A$501,$A146,Contacts!$F$2:$F$501,"*apprais*")=0,"MISSING","OK"))</f>
        <v/>
      </c>
      <c r="K146" s="31">
        <f>IF($A146="","",IF(Builders!$B143="","MISSING",IF(COUNTIFS('Title Contacts'!$A$2:$A$601,Builders!$B143,'Title Contacts'!$B$2:$B$601,"*agent*",'Title Contacts'!$C$2:$C$601,"&lt;&gt;")&gt;0,"OK","MISSING")))</f>
        <v/>
      </c>
      <c r="L146" s="31">
        <f>IF($A146="","",IF(Builders!$B143="","MISSING",IF(COUNTIFS('Title Contacts'!$A$2:$A$601,Builders!$B143,'Title Contacts'!$B$2:$B$601,"*assistant*",'Title Contacts'!$C$2:$C$601,"&lt;&gt;")&gt;0,"OK","MISSING")))</f>
        <v/>
      </c>
      <c r="M146" s="31">
        <f>IF($A146="","",COUNTIF(B146:L146,"MISSING"))</f>
        <v/>
      </c>
    </row>
    <row r="147">
      <c r="A147" s="18">
        <f>IF(Builders!$A144="","",Builders!$A144)</f>
        <v/>
      </c>
      <c r="B147" s="31">
        <f>IF($A147="","",IF(Builders!$B144="","MISSING","OK"))</f>
        <v/>
      </c>
      <c r="C147" s="31">
        <f>IF($A147="","",IF(Builders!$C144="","MISSING","OK"))</f>
        <v/>
      </c>
      <c r="D147" s="31">
        <f>IF($A147="","",IF(Builders!$D144="","MISSING","OK"))</f>
        <v/>
      </c>
      <c r="E147" s="31">
        <f>IF($A147="","",IF(Builders!$F144="","MISSING","OK"))</f>
        <v/>
      </c>
      <c r="F147" s="31">
        <f>IF($A147="","",IF(COUNTIFS(Contacts!$A$2:$A$501,$A147,Contacts!$B$2:$B$501,"*Owner*")+COUNTIFS(Contacts!$A$2:$A$501,$A147,Contacts!$F$2:$F$501,"*owner*")=0,"MISSING","OK"))</f>
        <v/>
      </c>
      <c r="G147" s="31">
        <f>IF($A147="","",IF(COUNTIFS(Contacts!$A$2:$A$501,$A147,Contacts!$B$2:$B$501,"*Listing*")+COUNTIFS(Contacts!$A$2:$A$501,$A147,Contacts!$F$2:$F$501,"*listing agent*")=0,"MISSING","OK"))</f>
        <v/>
      </c>
      <c r="H147" s="31">
        <f>IF($A147="","",IF(COUNTIFS(Contacts!$A$2:$A$501,$A147,Contacts!$B$2:$B$501,"*Builder Rep*")+COUNTIFS(Contacts!$A$2:$A$501,$A147,Contacts!$B$2:$B$501,"Sales*")=0,"MISSING","OK"))</f>
        <v/>
      </c>
      <c r="I147" s="31">
        <f>IF($A147="","",IF(COUNTIFS(Contacts!$A$2:$A$501,$A147,Contacts!$B$2:$B$501,"*Docs*")+COUNTIFS(Contacts!$A$2:$A$501,$A147,Contacts!$F$2:$F$501,"*builder doc*")=0,"MISSING","OK"))</f>
        <v/>
      </c>
      <c r="J147" s="31">
        <f>IF($A147="","",IF(COUNTIFS(Contacts!$A$2:$A$501,$A147,Contacts!$B$2:$B$501,"*Appraisal*")+COUNTIFS(Contacts!$A$2:$A$501,$A147,Contacts!$F$2:$F$501,"*apprais*")=0,"MISSING","OK"))</f>
        <v/>
      </c>
      <c r="K147" s="31">
        <f>IF($A147="","",IF(Builders!$B144="","MISSING",IF(COUNTIFS('Title Contacts'!$A$2:$A$601,Builders!$B144,'Title Contacts'!$B$2:$B$601,"*agent*",'Title Contacts'!$C$2:$C$601,"&lt;&gt;")&gt;0,"OK","MISSING")))</f>
        <v/>
      </c>
      <c r="L147" s="31">
        <f>IF($A147="","",IF(Builders!$B144="","MISSING",IF(COUNTIFS('Title Contacts'!$A$2:$A$601,Builders!$B144,'Title Contacts'!$B$2:$B$601,"*assistant*",'Title Contacts'!$C$2:$C$601,"&lt;&gt;")&gt;0,"OK","MISSING")))</f>
        <v/>
      </c>
      <c r="M147" s="31">
        <f>IF($A147="","",COUNTIF(B147:L147,"MISSING"))</f>
        <v/>
      </c>
    </row>
    <row r="148">
      <c r="A148" s="18">
        <f>IF(Builders!$A145="","",Builders!$A145)</f>
        <v/>
      </c>
      <c r="B148" s="31">
        <f>IF($A148="","",IF(Builders!$B145="","MISSING","OK"))</f>
        <v/>
      </c>
      <c r="C148" s="31">
        <f>IF($A148="","",IF(Builders!$C145="","MISSING","OK"))</f>
        <v/>
      </c>
      <c r="D148" s="31">
        <f>IF($A148="","",IF(Builders!$D145="","MISSING","OK"))</f>
        <v/>
      </c>
      <c r="E148" s="31">
        <f>IF($A148="","",IF(Builders!$F145="","MISSING","OK"))</f>
        <v/>
      </c>
      <c r="F148" s="31">
        <f>IF($A148="","",IF(COUNTIFS(Contacts!$A$2:$A$501,$A148,Contacts!$B$2:$B$501,"*Owner*")+COUNTIFS(Contacts!$A$2:$A$501,$A148,Contacts!$F$2:$F$501,"*owner*")=0,"MISSING","OK"))</f>
        <v/>
      </c>
      <c r="G148" s="31">
        <f>IF($A148="","",IF(COUNTIFS(Contacts!$A$2:$A$501,$A148,Contacts!$B$2:$B$501,"*Listing*")+COUNTIFS(Contacts!$A$2:$A$501,$A148,Contacts!$F$2:$F$501,"*listing agent*")=0,"MISSING","OK"))</f>
        <v/>
      </c>
      <c r="H148" s="31">
        <f>IF($A148="","",IF(COUNTIFS(Contacts!$A$2:$A$501,$A148,Contacts!$B$2:$B$501,"*Builder Rep*")+COUNTIFS(Contacts!$A$2:$A$501,$A148,Contacts!$B$2:$B$501,"Sales*")=0,"MISSING","OK"))</f>
        <v/>
      </c>
      <c r="I148" s="31">
        <f>IF($A148="","",IF(COUNTIFS(Contacts!$A$2:$A$501,$A148,Contacts!$B$2:$B$501,"*Docs*")+COUNTIFS(Contacts!$A$2:$A$501,$A148,Contacts!$F$2:$F$501,"*builder doc*")=0,"MISSING","OK"))</f>
        <v/>
      </c>
      <c r="J148" s="31">
        <f>IF($A148="","",IF(COUNTIFS(Contacts!$A$2:$A$501,$A148,Contacts!$B$2:$B$501,"*Appraisal*")+COUNTIFS(Contacts!$A$2:$A$501,$A148,Contacts!$F$2:$F$501,"*apprais*")=0,"MISSING","OK"))</f>
        <v/>
      </c>
      <c r="K148" s="31">
        <f>IF($A148="","",IF(Builders!$B145="","MISSING",IF(COUNTIFS('Title Contacts'!$A$2:$A$601,Builders!$B145,'Title Contacts'!$B$2:$B$601,"*agent*",'Title Contacts'!$C$2:$C$601,"&lt;&gt;")&gt;0,"OK","MISSING")))</f>
        <v/>
      </c>
      <c r="L148" s="31">
        <f>IF($A148="","",IF(Builders!$B145="","MISSING",IF(COUNTIFS('Title Contacts'!$A$2:$A$601,Builders!$B145,'Title Contacts'!$B$2:$B$601,"*assistant*",'Title Contacts'!$C$2:$C$601,"&lt;&gt;")&gt;0,"OK","MISSING")))</f>
        <v/>
      </c>
      <c r="M148" s="31">
        <f>IF($A148="","",COUNTIF(B148:L148,"MISSING"))</f>
        <v/>
      </c>
    </row>
    <row r="149">
      <c r="A149" s="18">
        <f>IF(Builders!$A146="","",Builders!$A146)</f>
        <v/>
      </c>
      <c r="B149" s="31">
        <f>IF($A149="","",IF(Builders!$B146="","MISSING","OK"))</f>
        <v/>
      </c>
      <c r="C149" s="31">
        <f>IF($A149="","",IF(Builders!$C146="","MISSING","OK"))</f>
        <v/>
      </c>
      <c r="D149" s="31">
        <f>IF($A149="","",IF(Builders!$D146="","MISSING","OK"))</f>
        <v/>
      </c>
      <c r="E149" s="31">
        <f>IF($A149="","",IF(Builders!$F146="","MISSING","OK"))</f>
        <v/>
      </c>
      <c r="F149" s="31">
        <f>IF($A149="","",IF(COUNTIFS(Contacts!$A$2:$A$501,$A149,Contacts!$B$2:$B$501,"*Owner*")+COUNTIFS(Contacts!$A$2:$A$501,$A149,Contacts!$F$2:$F$501,"*owner*")=0,"MISSING","OK"))</f>
        <v/>
      </c>
      <c r="G149" s="31">
        <f>IF($A149="","",IF(COUNTIFS(Contacts!$A$2:$A$501,$A149,Contacts!$B$2:$B$501,"*Listing*")+COUNTIFS(Contacts!$A$2:$A$501,$A149,Contacts!$F$2:$F$501,"*listing agent*")=0,"MISSING","OK"))</f>
        <v/>
      </c>
      <c r="H149" s="31">
        <f>IF($A149="","",IF(COUNTIFS(Contacts!$A$2:$A$501,$A149,Contacts!$B$2:$B$501,"*Builder Rep*")+COUNTIFS(Contacts!$A$2:$A$501,$A149,Contacts!$B$2:$B$501,"Sales*")=0,"MISSING","OK"))</f>
        <v/>
      </c>
      <c r="I149" s="31">
        <f>IF($A149="","",IF(COUNTIFS(Contacts!$A$2:$A$501,$A149,Contacts!$B$2:$B$501,"*Docs*")+COUNTIFS(Contacts!$A$2:$A$501,$A149,Contacts!$F$2:$F$501,"*builder doc*")=0,"MISSING","OK"))</f>
        <v/>
      </c>
      <c r="J149" s="31">
        <f>IF($A149="","",IF(COUNTIFS(Contacts!$A$2:$A$501,$A149,Contacts!$B$2:$B$501,"*Appraisal*")+COUNTIFS(Contacts!$A$2:$A$501,$A149,Contacts!$F$2:$F$501,"*apprais*")=0,"MISSING","OK"))</f>
        <v/>
      </c>
      <c r="K149" s="31">
        <f>IF($A149="","",IF(Builders!$B146="","MISSING",IF(COUNTIFS('Title Contacts'!$A$2:$A$601,Builders!$B146,'Title Contacts'!$B$2:$B$601,"*agent*",'Title Contacts'!$C$2:$C$601,"&lt;&gt;")&gt;0,"OK","MISSING")))</f>
        <v/>
      </c>
      <c r="L149" s="31">
        <f>IF($A149="","",IF(Builders!$B146="","MISSING",IF(COUNTIFS('Title Contacts'!$A$2:$A$601,Builders!$B146,'Title Contacts'!$B$2:$B$601,"*assistant*",'Title Contacts'!$C$2:$C$601,"&lt;&gt;")&gt;0,"OK","MISSING")))</f>
        <v/>
      </c>
      <c r="M149" s="31">
        <f>IF($A149="","",COUNTIF(B149:L149,"MISSING"))</f>
        <v/>
      </c>
    </row>
    <row r="150">
      <c r="A150" s="18">
        <f>IF(Builders!$A147="","",Builders!$A147)</f>
        <v/>
      </c>
      <c r="B150" s="31">
        <f>IF($A150="","",IF(Builders!$B147="","MISSING","OK"))</f>
        <v/>
      </c>
      <c r="C150" s="31">
        <f>IF($A150="","",IF(Builders!$C147="","MISSING","OK"))</f>
        <v/>
      </c>
      <c r="D150" s="31">
        <f>IF($A150="","",IF(Builders!$D147="","MISSING","OK"))</f>
        <v/>
      </c>
      <c r="E150" s="31">
        <f>IF($A150="","",IF(Builders!$F147="","MISSING","OK"))</f>
        <v/>
      </c>
      <c r="F150" s="31">
        <f>IF($A150="","",IF(COUNTIFS(Contacts!$A$2:$A$501,$A150,Contacts!$B$2:$B$501,"*Owner*")+COUNTIFS(Contacts!$A$2:$A$501,$A150,Contacts!$F$2:$F$501,"*owner*")=0,"MISSING","OK"))</f>
        <v/>
      </c>
      <c r="G150" s="31">
        <f>IF($A150="","",IF(COUNTIFS(Contacts!$A$2:$A$501,$A150,Contacts!$B$2:$B$501,"*Listing*")+COUNTIFS(Contacts!$A$2:$A$501,$A150,Contacts!$F$2:$F$501,"*listing agent*")=0,"MISSING","OK"))</f>
        <v/>
      </c>
      <c r="H150" s="31">
        <f>IF($A150="","",IF(COUNTIFS(Contacts!$A$2:$A$501,$A150,Contacts!$B$2:$B$501,"*Builder Rep*")+COUNTIFS(Contacts!$A$2:$A$501,$A150,Contacts!$B$2:$B$501,"Sales*")=0,"MISSING","OK"))</f>
        <v/>
      </c>
      <c r="I150" s="31">
        <f>IF($A150="","",IF(COUNTIFS(Contacts!$A$2:$A$501,$A150,Contacts!$B$2:$B$501,"*Docs*")+COUNTIFS(Contacts!$A$2:$A$501,$A150,Contacts!$F$2:$F$501,"*builder doc*")=0,"MISSING","OK"))</f>
        <v/>
      </c>
      <c r="J150" s="31">
        <f>IF($A150="","",IF(COUNTIFS(Contacts!$A$2:$A$501,$A150,Contacts!$B$2:$B$501,"*Appraisal*")+COUNTIFS(Contacts!$A$2:$A$501,$A150,Contacts!$F$2:$F$501,"*apprais*")=0,"MISSING","OK"))</f>
        <v/>
      </c>
      <c r="K150" s="31">
        <f>IF($A150="","",IF(Builders!$B147="","MISSING",IF(COUNTIFS('Title Contacts'!$A$2:$A$601,Builders!$B147,'Title Contacts'!$B$2:$B$601,"*agent*",'Title Contacts'!$C$2:$C$601,"&lt;&gt;")&gt;0,"OK","MISSING")))</f>
        <v/>
      </c>
      <c r="L150" s="31">
        <f>IF($A150="","",IF(Builders!$B147="","MISSING",IF(COUNTIFS('Title Contacts'!$A$2:$A$601,Builders!$B147,'Title Contacts'!$B$2:$B$601,"*assistant*",'Title Contacts'!$C$2:$C$601,"&lt;&gt;")&gt;0,"OK","MISSING")))</f>
        <v/>
      </c>
      <c r="M150" s="31">
        <f>IF($A150="","",COUNTIF(B150:L150,"MISSING"))</f>
        <v/>
      </c>
    </row>
    <row r="151">
      <c r="A151" s="18">
        <f>IF(Builders!$A148="","",Builders!$A148)</f>
        <v/>
      </c>
      <c r="B151" s="31">
        <f>IF($A151="","",IF(Builders!$B148="","MISSING","OK"))</f>
        <v/>
      </c>
      <c r="C151" s="31">
        <f>IF($A151="","",IF(Builders!$C148="","MISSING","OK"))</f>
        <v/>
      </c>
      <c r="D151" s="31">
        <f>IF($A151="","",IF(Builders!$D148="","MISSING","OK"))</f>
        <v/>
      </c>
      <c r="E151" s="31">
        <f>IF($A151="","",IF(Builders!$F148="","MISSING","OK"))</f>
        <v/>
      </c>
      <c r="F151" s="31">
        <f>IF($A151="","",IF(COUNTIFS(Contacts!$A$2:$A$501,$A151,Contacts!$B$2:$B$501,"*Owner*")+COUNTIFS(Contacts!$A$2:$A$501,$A151,Contacts!$F$2:$F$501,"*owner*")=0,"MISSING","OK"))</f>
        <v/>
      </c>
      <c r="G151" s="31">
        <f>IF($A151="","",IF(COUNTIFS(Contacts!$A$2:$A$501,$A151,Contacts!$B$2:$B$501,"*Listing*")+COUNTIFS(Contacts!$A$2:$A$501,$A151,Contacts!$F$2:$F$501,"*listing agent*")=0,"MISSING","OK"))</f>
        <v/>
      </c>
      <c r="H151" s="31">
        <f>IF($A151="","",IF(COUNTIFS(Contacts!$A$2:$A$501,$A151,Contacts!$B$2:$B$501,"*Builder Rep*")+COUNTIFS(Contacts!$A$2:$A$501,$A151,Contacts!$B$2:$B$501,"Sales*")=0,"MISSING","OK"))</f>
        <v/>
      </c>
      <c r="I151" s="31">
        <f>IF($A151="","",IF(COUNTIFS(Contacts!$A$2:$A$501,$A151,Contacts!$B$2:$B$501,"*Docs*")+COUNTIFS(Contacts!$A$2:$A$501,$A151,Contacts!$F$2:$F$501,"*builder doc*")=0,"MISSING","OK"))</f>
        <v/>
      </c>
      <c r="J151" s="31">
        <f>IF($A151="","",IF(COUNTIFS(Contacts!$A$2:$A$501,$A151,Contacts!$B$2:$B$501,"*Appraisal*")+COUNTIFS(Contacts!$A$2:$A$501,$A151,Contacts!$F$2:$F$501,"*apprais*")=0,"MISSING","OK"))</f>
        <v/>
      </c>
      <c r="K151" s="31">
        <f>IF($A151="","",IF(Builders!$B148="","MISSING",IF(COUNTIFS('Title Contacts'!$A$2:$A$601,Builders!$B148,'Title Contacts'!$B$2:$B$601,"*agent*",'Title Contacts'!$C$2:$C$601,"&lt;&gt;")&gt;0,"OK","MISSING")))</f>
        <v/>
      </c>
      <c r="L151" s="31">
        <f>IF($A151="","",IF(Builders!$B148="","MISSING",IF(COUNTIFS('Title Contacts'!$A$2:$A$601,Builders!$B148,'Title Contacts'!$B$2:$B$601,"*assistant*",'Title Contacts'!$C$2:$C$601,"&lt;&gt;")&gt;0,"OK","MISSING")))</f>
        <v/>
      </c>
      <c r="M151" s="31">
        <f>IF($A151="","",COUNTIF(B151:L151,"MISSING"))</f>
        <v/>
      </c>
    </row>
    <row r="152">
      <c r="A152" s="18">
        <f>IF(Builders!$A149="","",Builders!$A149)</f>
        <v/>
      </c>
      <c r="B152" s="31">
        <f>IF($A152="","",IF(Builders!$B149="","MISSING","OK"))</f>
        <v/>
      </c>
      <c r="C152" s="31">
        <f>IF($A152="","",IF(Builders!$C149="","MISSING","OK"))</f>
        <v/>
      </c>
      <c r="D152" s="31">
        <f>IF($A152="","",IF(Builders!$D149="","MISSING","OK"))</f>
        <v/>
      </c>
      <c r="E152" s="31">
        <f>IF($A152="","",IF(Builders!$F149="","MISSING","OK"))</f>
        <v/>
      </c>
      <c r="F152" s="31">
        <f>IF($A152="","",IF(COUNTIFS(Contacts!$A$2:$A$501,$A152,Contacts!$B$2:$B$501,"*Owner*")+COUNTIFS(Contacts!$A$2:$A$501,$A152,Contacts!$F$2:$F$501,"*owner*")=0,"MISSING","OK"))</f>
        <v/>
      </c>
      <c r="G152" s="31">
        <f>IF($A152="","",IF(COUNTIFS(Contacts!$A$2:$A$501,$A152,Contacts!$B$2:$B$501,"*Listing*")+COUNTIFS(Contacts!$A$2:$A$501,$A152,Contacts!$F$2:$F$501,"*listing agent*")=0,"MISSING","OK"))</f>
        <v/>
      </c>
      <c r="H152" s="31">
        <f>IF($A152="","",IF(COUNTIFS(Contacts!$A$2:$A$501,$A152,Contacts!$B$2:$B$501,"*Builder Rep*")+COUNTIFS(Contacts!$A$2:$A$501,$A152,Contacts!$B$2:$B$501,"Sales*")=0,"MISSING","OK"))</f>
        <v/>
      </c>
      <c r="I152" s="31">
        <f>IF($A152="","",IF(COUNTIFS(Contacts!$A$2:$A$501,$A152,Contacts!$B$2:$B$501,"*Docs*")+COUNTIFS(Contacts!$A$2:$A$501,$A152,Contacts!$F$2:$F$501,"*builder doc*")=0,"MISSING","OK"))</f>
        <v/>
      </c>
      <c r="J152" s="31">
        <f>IF($A152="","",IF(COUNTIFS(Contacts!$A$2:$A$501,$A152,Contacts!$B$2:$B$501,"*Appraisal*")+COUNTIFS(Contacts!$A$2:$A$501,$A152,Contacts!$F$2:$F$501,"*apprais*")=0,"MISSING","OK"))</f>
        <v/>
      </c>
      <c r="K152" s="31">
        <f>IF($A152="","",IF(Builders!$B149="","MISSING",IF(COUNTIFS('Title Contacts'!$A$2:$A$601,Builders!$B149,'Title Contacts'!$B$2:$B$601,"*agent*",'Title Contacts'!$C$2:$C$601,"&lt;&gt;")&gt;0,"OK","MISSING")))</f>
        <v/>
      </c>
      <c r="L152" s="31">
        <f>IF($A152="","",IF(Builders!$B149="","MISSING",IF(COUNTIFS('Title Contacts'!$A$2:$A$601,Builders!$B149,'Title Contacts'!$B$2:$B$601,"*assistant*",'Title Contacts'!$C$2:$C$601,"&lt;&gt;")&gt;0,"OK","MISSING")))</f>
        <v/>
      </c>
      <c r="M152" s="31">
        <f>IF($A152="","",COUNTIF(B152:L152,"MISSING"))</f>
        <v/>
      </c>
    </row>
    <row r="153">
      <c r="A153" s="18">
        <f>IF(Builders!$A150="","",Builders!$A150)</f>
        <v/>
      </c>
      <c r="B153" s="31">
        <f>IF($A153="","",IF(Builders!$B150="","MISSING","OK"))</f>
        <v/>
      </c>
      <c r="C153" s="31">
        <f>IF($A153="","",IF(Builders!$C150="","MISSING","OK"))</f>
        <v/>
      </c>
      <c r="D153" s="31">
        <f>IF($A153="","",IF(Builders!$D150="","MISSING","OK"))</f>
        <v/>
      </c>
      <c r="E153" s="31">
        <f>IF($A153="","",IF(Builders!$F150="","MISSING","OK"))</f>
        <v/>
      </c>
      <c r="F153" s="31">
        <f>IF($A153="","",IF(COUNTIFS(Contacts!$A$2:$A$501,$A153,Contacts!$B$2:$B$501,"*Owner*")+COUNTIFS(Contacts!$A$2:$A$501,$A153,Contacts!$F$2:$F$501,"*owner*")=0,"MISSING","OK"))</f>
        <v/>
      </c>
      <c r="G153" s="31">
        <f>IF($A153="","",IF(COUNTIFS(Contacts!$A$2:$A$501,$A153,Contacts!$B$2:$B$501,"*Listing*")+COUNTIFS(Contacts!$A$2:$A$501,$A153,Contacts!$F$2:$F$501,"*listing agent*")=0,"MISSING","OK"))</f>
        <v/>
      </c>
      <c r="H153" s="31">
        <f>IF($A153="","",IF(COUNTIFS(Contacts!$A$2:$A$501,$A153,Contacts!$B$2:$B$501,"*Builder Rep*")+COUNTIFS(Contacts!$A$2:$A$501,$A153,Contacts!$B$2:$B$501,"Sales*")=0,"MISSING","OK"))</f>
        <v/>
      </c>
      <c r="I153" s="31">
        <f>IF($A153="","",IF(COUNTIFS(Contacts!$A$2:$A$501,$A153,Contacts!$B$2:$B$501,"*Docs*")+COUNTIFS(Contacts!$A$2:$A$501,$A153,Contacts!$F$2:$F$501,"*builder doc*")=0,"MISSING","OK"))</f>
        <v/>
      </c>
      <c r="J153" s="31">
        <f>IF($A153="","",IF(COUNTIFS(Contacts!$A$2:$A$501,$A153,Contacts!$B$2:$B$501,"*Appraisal*")+COUNTIFS(Contacts!$A$2:$A$501,$A153,Contacts!$F$2:$F$501,"*apprais*")=0,"MISSING","OK"))</f>
        <v/>
      </c>
      <c r="K153" s="31">
        <f>IF($A153="","",IF(Builders!$B150="","MISSING",IF(COUNTIFS('Title Contacts'!$A$2:$A$601,Builders!$B150,'Title Contacts'!$B$2:$B$601,"*agent*",'Title Contacts'!$C$2:$C$601,"&lt;&gt;")&gt;0,"OK","MISSING")))</f>
        <v/>
      </c>
      <c r="L153" s="31">
        <f>IF($A153="","",IF(Builders!$B150="","MISSING",IF(COUNTIFS('Title Contacts'!$A$2:$A$601,Builders!$B150,'Title Contacts'!$B$2:$B$601,"*assistant*",'Title Contacts'!$C$2:$C$601,"&lt;&gt;")&gt;0,"OK","MISSING")))</f>
        <v/>
      </c>
      <c r="M153" s="31">
        <f>IF($A153="","",COUNTIF(B153:L153,"MISSING"))</f>
        <v/>
      </c>
    </row>
    <row r="154">
      <c r="A154" s="18">
        <f>IF(Builders!$A151="","",Builders!$A151)</f>
        <v/>
      </c>
      <c r="B154" s="31">
        <f>IF($A154="","",IF(Builders!$B151="","MISSING","OK"))</f>
        <v/>
      </c>
      <c r="C154" s="31">
        <f>IF($A154="","",IF(Builders!$C151="","MISSING","OK"))</f>
        <v/>
      </c>
      <c r="D154" s="31">
        <f>IF($A154="","",IF(Builders!$D151="","MISSING","OK"))</f>
        <v/>
      </c>
      <c r="E154" s="31">
        <f>IF($A154="","",IF(Builders!$F151="","MISSING","OK"))</f>
        <v/>
      </c>
      <c r="F154" s="31">
        <f>IF($A154="","",IF(COUNTIFS(Contacts!$A$2:$A$501,$A154,Contacts!$B$2:$B$501,"*Owner*")+COUNTIFS(Contacts!$A$2:$A$501,$A154,Contacts!$F$2:$F$501,"*owner*")=0,"MISSING","OK"))</f>
        <v/>
      </c>
      <c r="G154" s="31">
        <f>IF($A154="","",IF(COUNTIFS(Contacts!$A$2:$A$501,$A154,Contacts!$B$2:$B$501,"*Listing*")+COUNTIFS(Contacts!$A$2:$A$501,$A154,Contacts!$F$2:$F$501,"*listing agent*")=0,"MISSING","OK"))</f>
        <v/>
      </c>
      <c r="H154" s="31">
        <f>IF($A154="","",IF(COUNTIFS(Contacts!$A$2:$A$501,$A154,Contacts!$B$2:$B$501,"*Builder Rep*")+COUNTIFS(Contacts!$A$2:$A$501,$A154,Contacts!$B$2:$B$501,"Sales*")=0,"MISSING","OK"))</f>
        <v/>
      </c>
      <c r="I154" s="31">
        <f>IF($A154="","",IF(COUNTIFS(Contacts!$A$2:$A$501,$A154,Contacts!$B$2:$B$501,"*Docs*")+COUNTIFS(Contacts!$A$2:$A$501,$A154,Contacts!$F$2:$F$501,"*builder doc*")=0,"MISSING","OK"))</f>
        <v/>
      </c>
      <c r="J154" s="31">
        <f>IF($A154="","",IF(COUNTIFS(Contacts!$A$2:$A$501,$A154,Contacts!$B$2:$B$501,"*Appraisal*")+COUNTIFS(Contacts!$A$2:$A$501,$A154,Contacts!$F$2:$F$501,"*apprais*")=0,"MISSING","OK"))</f>
        <v/>
      </c>
      <c r="K154" s="31">
        <f>IF($A154="","",IF(Builders!$B151="","MISSING",IF(COUNTIFS('Title Contacts'!$A$2:$A$601,Builders!$B151,'Title Contacts'!$B$2:$B$601,"*agent*",'Title Contacts'!$C$2:$C$601,"&lt;&gt;")&gt;0,"OK","MISSING")))</f>
        <v/>
      </c>
      <c r="L154" s="31">
        <f>IF($A154="","",IF(Builders!$B151="","MISSING",IF(COUNTIFS('Title Contacts'!$A$2:$A$601,Builders!$B151,'Title Contacts'!$B$2:$B$601,"*assistant*",'Title Contacts'!$C$2:$C$601,"&lt;&gt;")&gt;0,"OK","MISSING")))</f>
        <v/>
      </c>
      <c r="M154" s="31">
        <f>IF($A154="","",COUNTIF(B154:L154,"MISSING"))</f>
        <v/>
      </c>
    </row>
    <row r="155">
      <c r="A155" s="18">
        <f>IF(Builders!$A152="","",Builders!$A152)</f>
        <v/>
      </c>
      <c r="B155" s="31">
        <f>IF($A155="","",IF(Builders!$B152="","MISSING","OK"))</f>
        <v/>
      </c>
      <c r="C155" s="31">
        <f>IF($A155="","",IF(Builders!$C152="","MISSING","OK"))</f>
        <v/>
      </c>
      <c r="D155" s="31">
        <f>IF($A155="","",IF(Builders!$D152="","MISSING","OK"))</f>
        <v/>
      </c>
      <c r="E155" s="31">
        <f>IF($A155="","",IF(Builders!$F152="","MISSING","OK"))</f>
        <v/>
      </c>
      <c r="F155" s="31">
        <f>IF($A155="","",IF(COUNTIFS(Contacts!$A$2:$A$501,$A155,Contacts!$B$2:$B$501,"*Owner*")+COUNTIFS(Contacts!$A$2:$A$501,$A155,Contacts!$F$2:$F$501,"*owner*")=0,"MISSING","OK"))</f>
        <v/>
      </c>
      <c r="G155" s="31">
        <f>IF($A155="","",IF(COUNTIFS(Contacts!$A$2:$A$501,$A155,Contacts!$B$2:$B$501,"*Listing*")+COUNTIFS(Contacts!$A$2:$A$501,$A155,Contacts!$F$2:$F$501,"*listing agent*")=0,"MISSING","OK"))</f>
        <v/>
      </c>
      <c r="H155" s="31">
        <f>IF($A155="","",IF(COUNTIFS(Contacts!$A$2:$A$501,$A155,Contacts!$B$2:$B$501,"*Builder Rep*")+COUNTIFS(Contacts!$A$2:$A$501,$A155,Contacts!$B$2:$B$501,"Sales*")=0,"MISSING","OK"))</f>
        <v/>
      </c>
      <c r="I155" s="31">
        <f>IF($A155="","",IF(COUNTIFS(Contacts!$A$2:$A$501,$A155,Contacts!$B$2:$B$501,"*Docs*")+COUNTIFS(Contacts!$A$2:$A$501,$A155,Contacts!$F$2:$F$501,"*builder doc*")=0,"MISSING","OK"))</f>
        <v/>
      </c>
      <c r="J155" s="31">
        <f>IF($A155="","",IF(COUNTIFS(Contacts!$A$2:$A$501,$A155,Contacts!$B$2:$B$501,"*Appraisal*")+COUNTIFS(Contacts!$A$2:$A$501,$A155,Contacts!$F$2:$F$501,"*apprais*")=0,"MISSING","OK"))</f>
        <v/>
      </c>
      <c r="K155" s="31">
        <f>IF($A155="","",IF(Builders!$B152="","MISSING",IF(COUNTIFS('Title Contacts'!$A$2:$A$601,Builders!$B152,'Title Contacts'!$B$2:$B$601,"*agent*",'Title Contacts'!$C$2:$C$601,"&lt;&gt;")&gt;0,"OK","MISSING")))</f>
        <v/>
      </c>
      <c r="L155" s="31">
        <f>IF($A155="","",IF(Builders!$B152="","MISSING",IF(COUNTIFS('Title Contacts'!$A$2:$A$601,Builders!$B152,'Title Contacts'!$B$2:$B$601,"*assistant*",'Title Contacts'!$C$2:$C$601,"&lt;&gt;")&gt;0,"OK","MISSING")))</f>
        <v/>
      </c>
      <c r="M155" s="31">
        <f>IF($A155="","",COUNTIF(B155:L155,"MISSING"))</f>
        <v/>
      </c>
    </row>
    <row r="156">
      <c r="A156" s="18">
        <f>IF(Builders!$A153="","",Builders!$A153)</f>
        <v/>
      </c>
      <c r="B156" s="31">
        <f>IF($A156="","",IF(Builders!$B153="","MISSING","OK"))</f>
        <v/>
      </c>
      <c r="C156" s="31">
        <f>IF($A156="","",IF(Builders!$C153="","MISSING","OK"))</f>
        <v/>
      </c>
      <c r="D156" s="31">
        <f>IF($A156="","",IF(Builders!$D153="","MISSING","OK"))</f>
        <v/>
      </c>
      <c r="E156" s="31">
        <f>IF($A156="","",IF(Builders!$F153="","MISSING","OK"))</f>
        <v/>
      </c>
      <c r="F156" s="31">
        <f>IF($A156="","",IF(COUNTIFS(Contacts!$A$2:$A$501,$A156,Contacts!$B$2:$B$501,"*Owner*")+COUNTIFS(Contacts!$A$2:$A$501,$A156,Contacts!$F$2:$F$501,"*owner*")=0,"MISSING","OK"))</f>
        <v/>
      </c>
      <c r="G156" s="31">
        <f>IF($A156="","",IF(COUNTIFS(Contacts!$A$2:$A$501,$A156,Contacts!$B$2:$B$501,"*Listing*")+COUNTIFS(Contacts!$A$2:$A$501,$A156,Contacts!$F$2:$F$501,"*listing agent*")=0,"MISSING","OK"))</f>
        <v/>
      </c>
      <c r="H156" s="31">
        <f>IF($A156="","",IF(COUNTIFS(Contacts!$A$2:$A$501,$A156,Contacts!$B$2:$B$501,"*Builder Rep*")+COUNTIFS(Contacts!$A$2:$A$501,$A156,Contacts!$B$2:$B$501,"Sales*")=0,"MISSING","OK"))</f>
        <v/>
      </c>
      <c r="I156" s="31">
        <f>IF($A156="","",IF(COUNTIFS(Contacts!$A$2:$A$501,$A156,Contacts!$B$2:$B$501,"*Docs*")+COUNTIFS(Contacts!$A$2:$A$501,$A156,Contacts!$F$2:$F$501,"*builder doc*")=0,"MISSING","OK"))</f>
        <v/>
      </c>
      <c r="J156" s="31">
        <f>IF($A156="","",IF(COUNTIFS(Contacts!$A$2:$A$501,$A156,Contacts!$B$2:$B$501,"*Appraisal*")+COUNTIFS(Contacts!$A$2:$A$501,$A156,Contacts!$F$2:$F$501,"*apprais*")=0,"MISSING","OK"))</f>
        <v/>
      </c>
      <c r="K156" s="31">
        <f>IF($A156="","",IF(Builders!$B153="","MISSING",IF(COUNTIFS('Title Contacts'!$A$2:$A$601,Builders!$B153,'Title Contacts'!$B$2:$B$601,"*agent*",'Title Contacts'!$C$2:$C$601,"&lt;&gt;")&gt;0,"OK","MISSING")))</f>
        <v/>
      </c>
      <c r="L156" s="31">
        <f>IF($A156="","",IF(Builders!$B153="","MISSING",IF(COUNTIFS('Title Contacts'!$A$2:$A$601,Builders!$B153,'Title Contacts'!$B$2:$B$601,"*assistant*",'Title Contacts'!$C$2:$C$601,"&lt;&gt;")&gt;0,"OK","MISSING")))</f>
        <v/>
      </c>
      <c r="M156" s="31">
        <f>IF($A156="","",COUNTIF(B156:L156,"MISSING"))</f>
        <v/>
      </c>
    </row>
    <row r="157">
      <c r="A157" s="18">
        <f>IF(Builders!$A154="","",Builders!$A154)</f>
        <v/>
      </c>
      <c r="B157" s="31">
        <f>IF($A157="","",IF(Builders!$B154="","MISSING","OK"))</f>
        <v/>
      </c>
      <c r="C157" s="31">
        <f>IF($A157="","",IF(Builders!$C154="","MISSING","OK"))</f>
        <v/>
      </c>
      <c r="D157" s="31">
        <f>IF($A157="","",IF(Builders!$D154="","MISSING","OK"))</f>
        <v/>
      </c>
      <c r="E157" s="31">
        <f>IF($A157="","",IF(Builders!$F154="","MISSING","OK"))</f>
        <v/>
      </c>
      <c r="F157" s="31">
        <f>IF($A157="","",IF(COUNTIFS(Contacts!$A$2:$A$501,$A157,Contacts!$B$2:$B$501,"*Owner*")+COUNTIFS(Contacts!$A$2:$A$501,$A157,Contacts!$F$2:$F$501,"*owner*")=0,"MISSING","OK"))</f>
        <v/>
      </c>
      <c r="G157" s="31">
        <f>IF($A157="","",IF(COUNTIFS(Contacts!$A$2:$A$501,$A157,Contacts!$B$2:$B$501,"*Listing*")+COUNTIFS(Contacts!$A$2:$A$501,$A157,Contacts!$F$2:$F$501,"*listing agent*")=0,"MISSING","OK"))</f>
        <v/>
      </c>
      <c r="H157" s="31">
        <f>IF($A157="","",IF(COUNTIFS(Contacts!$A$2:$A$501,$A157,Contacts!$B$2:$B$501,"*Builder Rep*")+COUNTIFS(Contacts!$A$2:$A$501,$A157,Contacts!$B$2:$B$501,"Sales*")=0,"MISSING","OK"))</f>
        <v/>
      </c>
      <c r="I157" s="31">
        <f>IF($A157="","",IF(COUNTIFS(Contacts!$A$2:$A$501,$A157,Contacts!$B$2:$B$501,"*Docs*")+COUNTIFS(Contacts!$A$2:$A$501,$A157,Contacts!$F$2:$F$501,"*builder doc*")=0,"MISSING","OK"))</f>
        <v/>
      </c>
      <c r="J157" s="31">
        <f>IF($A157="","",IF(COUNTIFS(Contacts!$A$2:$A$501,$A157,Contacts!$B$2:$B$501,"*Appraisal*")+COUNTIFS(Contacts!$A$2:$A$501,$A157,Contacts!$F$2:$F$501,"*apprais*")=0,"MISSING","OK"))</f>
        <v/>
      </c>
      <c r="K157" s="31">
        <f>IF($A157="","",IF(Builders!$B154="","MISSING",IF(COUNTIFS('Title Contacts'!$A$2:$A$601,Builders!$B154,'Title Contacts'!$B$2:$B$601,"*agent*",'Title Contacts'!$C$2:$C$601,"&lt;&gt;")&gt;0,"OK","MISSING")))</f>
        <v/>
      </c>
      <c r="L157" s="31">
        <f>IF($A157="","",IF(Builders!$B154="","MISSING",IF(COUNTIFS('Title Contacts'!$A$2:$A$601,Builders!$B154,'Title Contacts'!$B$2:$B$601,"*assistant*",'Title Contacts'!$C$2:$C$601,"&lt;&gt;")&gt;0,"OK","MISSING")))</f>
        <v/>
      </c>
      <c r="M157" s="31">
        <f>IF($A157="","",COUNTIF(B157:L157,"MISSING"))</f>
        <v/>
      </c>
    </row>
    <row r="158">
      <c r="A158" s="18">
        <f>IF(Builders!$A155="","",Builders!$A155)</f>
        <v/>
      </c>
      <c r="B158" s="31">
        <f>IF($A158="","",IF(Builders!$B155="","MISSING","OK"))</f>
        <v/>
      </c>
      <c r="C158" s="31">
        <f>IF($A158="","",IF(Builders!$C155="","MISSING","OK"))</f>
        <v/>
      </c>
      <c r="D158" s="31">
        <f>IF($A158="","",IF(Builders!$D155="","MISSING","OK"))</f>
        <v/>
      </c>
      <c r="E158" s="31">
        <f>IF($A158="","",IF(Builders!$F155="","MISSING","OK"))</f>
        <v/>
      </c>
      <c r="F158" s="31">
        <f>IF($A158="","",IF(COUNTIFS(Contacts!$A$2:$A$501,$A158,Contacts!$B$2:$B$501,"*Owner*")+COUNTIFS(Contacts!$A$2:$A$501,$A158,Contacts!$F$2:$F$501,"*owner*")=0,"MISSING","OK"))</f>
        <v/>
      </c>
      <c r="G158" s="31">
        <f>IF($A158="","",IF(COUNTIFS(Contacts!$A$2:$A$501,$A158,Contacts!$B$2:$B$501,"*Listing*")+COUNTIFS(Contacts!$A$2:$A$501,$A158,Contacts!$F$2:$F$501,"*listing agent*")=0,"MISSING","OK"))</f>
        <v/>
      </c>
      <c r="H158" s="31">
        <f>IF($A158="","",IF(COUNTIFS(Contacts!$A$2:$A$501,$A158,Contacts!$B$2:$B$501,"*Builder Rep*")+COUNTIFS(Contacts!$A$2:$A$501,$A158,Contacts!$B$2:$B$501,"Sales*")=0,"MISSING","OK"))</f>
        <v/>
      </c>
      <c r="I158" s="31">
        <f>IF($A158="","",IF(COUNTIFS(Contacts!$A$2:$A$501,$A158,Contacts!$B$2:$B$501,"*Docs*")+COUNTIFS(Contacts!$A$2:$A$501,$A158,Contacts!$F$2:$F$501,"*builder doc*")=0,"MISSING","OK"))</f>
        <v/>
      </c>
      <c r="J158" s="31">
        <f>IF($A158="","",IF(COUNTIFS(Contacts!$A$2:$A$501,$A158,Contacts!$B$2:$B$501,"*Appraisal*")+COUNTIFS(Contacts!$A$2:$A$501,$A158,Contacts!$F$2:$F$501,"*apprais*")=0,"MISSING","OK"))</f>
        <v/>
      </c>
      <c r="K158" s="31">
        <f>IF($A158="","",IF(Builders!$B155="","MISSING",IF(COUNTIFS('Title Contacts'!$A$2:$A$601,Builders!$B155,'Title Contacts'!$B$2:$B$601,"*agent*",'Title Contacts'!$C$2:$C$601,"&lt;&gt;")&gt;0,"OK","MISSING")))</f>
        <v/>
      </c>
      <c r="L158" s="31">
        <f>IF($A158="","",IF(Builders!$B155="","MISSING",IF(COUNTIFS('Title Contacts'!$A$2:$A$601,Builders!$B155,'Title Contacts'!$B$2:$B$601,"*assistant*",'Title Contacts'!$C$2:$C$601,"&lt;&gt;")&gt;0,"OK","MISSING")))</f>
        <v/>
      </c>
      <c r="M158" s="31">
        <f>IF($A158="","",COUNTIF(B158:L158,"MISSING"))</f>
        <v/>
      </c>
    </row>
    <row r="159">
      <c r="A159" s="18">
        <f>IF(Builders!$A156="","",Builders!$A156)</f>
        <v/>
      </c>
      <c r="B159" s="31">
        <f>IF($A159="","",IF(Builders!$B156="","MISSING","OK"))</f>
        <v/>
      </c>
      <c r="C159" s="31">
        <f>IF($A159="","",IF(Builders!$C156="","MISSING","OK"))</f>
        <v/>
      </c>
      <c r="D159" s="31">
        <f>IF($A159="","",IF(Builders!$D156="","MISSING","OK"))</f>
        <v/>
      </c>
      <c r="E159" s="31">
        <f>IF($A159="","",IF(Builders!$F156="","MISSING","OK"))</f>
        <v/>
      </c>
      <c r="F159" s="31">
        <f>IF($A159="","",IF(COUNTIFS(Contacts!$A$2:$A$501,$A159,Contacts!$B$2:$B$501,"*Owner*")+COUNTIFS(Contacts!$A$2:$A$501,$A159,Contacts!$F$2:$F$501,"*owner*")=0,"MISSING","OK"))</f>
        <v/>
      </c>
      <c r="G159" s="31">
        <f>IF($A159="","",IF(COUNTIFS(Contacts!$A$2:$A$501,$A159,Contacts!$B$2:$B$501,"*Listing*")+COUNTIFS(Contacts!$A$2:$A$501,$A159,Contacts!$F$2:$F$501,"*listing agent*")=0,"MISSING","OK"))</f>
        <v/>
      </c>
      <c r="H159" s="31">
        <f>IF($A159="","",IF(COUNTIFS(Contacts!$A$2:$A$501,$A159,Contacts!$B$2:$B$501,"*Builder Rep*")+COUNTIFS(Contacts!$A$2:$A$501,$A159,Contacts!$B$2:$B$501,"Sales*")=0,"MISSING","OK"))</f>
        <v/>
      </c>
      <c r="I159" s="31">
        <f>IF($A159="","",IF(COUNTIFS(Contacts!$A$2:$A$501,$A159,Contacts!$B$2:$B$501,"*Docs*")+COUNTIFS(Contacts!$A$2:$A$501,$A159,Contacts!$F$2:$F$501,"*builder doc*")=0,"MISSING","OK"))</f>
        <v/>
      </c>
      <c r="J159" s="31">
        <f>IF($A159="","",IF(COUNTIFS(Contacts!$A$2:$A$501,$A159,Contacts!$B$2:$B$501,"*Appraisal*")+COUNTIFS(Contacts!$A$2:$A$501,$A159,Contacts!$F$2:$F$501,"*apprais*")=0,"MISSING","OK"))</f>
        <v/>
      </c>
      <c r="K159" s="31">
        <f>IF($A159="","",IF(Builders!$B156="","MISSING",IF(COUNTIFS('Title Contacts'!$A$2:$A$601,Builders!$B156,'Title Contacts'!$B$2:$B$601,"*agent*",'Title Contacts'!$C$2:$C$601,"&lt;&gt;")&gt;0,"OK","MISSING")))</f>
        <v/>
      </c>
      <c r="L159" s="31">
        <f>IF($A159="","",IF(Builders!$B156="","MISSING",IF(COUNTIFS('Title Contacts'!$A$2:$A$601,Builders!$B156,'Title Contacts'!$B$2:$B$601,"*assistant*",'Title Contacts'!$C$2:$C$601,"&lt;&gt;")&gt;0,"OK","MISSING")))</f>
        <v/>
      </c>
      <c r="M159" s="31">
        <f>IF($A159="","",COUNTIF(B159:L159,"MISSING"))</f>
        <v/>
      </c>
    </row>
    <row r="160">
      <c r="A160" s="18">
        <f>IF(Builders!$A157="","",Builders!$A157)</f>
        <v/>
      </c>
      <c r="B160" s="31">
        <f>IF($A160="","",IF(Builders!$B157="","MISSING","OK"))</f>
        <v/>
      </c>
      <c r="C160" s="31">
        <f>IF($A160="","",IF(Builders!$C157="","MISSING","OK"))</f>
        <v/>
      </c>
      <c r="D160" s="31">
        <f>IF($A160="","",IF(Builders!$D157="","MISSING","OK"))</f>
        <v/>
      </c>
      <c r="E160" s="31">
        <f>IF($A160="","",IF(Builders!$F157="","MISSING","OK"))</f>
        <v/>
      </c>
      <c r="F160" s="31">
        <f>IF($A160="","",IF(COUNTIFS(Contacts!$A$2:$A$501,$A160,Contacts!$B$2:$B$501,"*Owner*")+COUNTIFS(Contacts!$A$2:$A$501,$A160,Contacts!$F$2:$F$501,"*owner*")=0,"MISSING","OK"))</f>
        <v/>
      </c>
      <c r="G160" s="31">
        <f>IF($A160="","",IF(COUNTIFS(Contacts!$A$2:$A$501,$A160,Contacts!$B$2:$B$501,"*Listing*")+COUNTIFS(Contacts!$A$2:$A$501,$A160,Contacts!$F$2:$F$501,"*listing agent*")=0,"MISSING","OK"))</f>
        <v/>
      </c>
      <c r="H160" s="31">
        <f>IF($A160="","",IF(COUNTIFS(Contacts!$A$2:$A$501,$A160,Contacts!$B$2:$B$501,"*Builder Rep*")+COUNTIFS(Contacts!$A$2:$A$501,$A160,Contacts!$B$2:$B$501,"Sales*")=0,"MISSING","OK"))</f>
        <v/>
      </c>
      <c r="I160" s="31">
        <f>IF($A160="","",IF(COUNTIFS(Contacts!$A$2:$A$501,$A160,Contacts!$B$2:$B$501,"*Docs*")+COUNTIFS(Contacts!$A$2:$A$501,$A160,Contacts!$F$2:$F$501,"*builder doc*")=0,"MISSING","OK"))</f>
        <v/>
      </c>
      <c r="J160" s="31">
        <f>IF($A160="","",IF(COUNTIFS(Contacts!$A$2:$A$501,$A160,Contacts!$B$2:$B$501,"*Appraisal*")+COUNTIFS(Contacts!$A$2:$A$501,$A160,Contacts!$F$2:$F$501,"*apprais*")=0,"MISSING","OK"))</f>
        <v/>
      </c>
      <c r="K160" s="31">
        <f>IF($A160="","",IF(Builders!$B157="","MISSING",IF(COUNTIFS('Title Contacts'!$A$2:$A$601,Builders!$B157,'Title Contacts'!$B$2:$B$601,"*agent*",'Title Contacts'!$C$2:$C$601,"&lt;&gt;")&gt;0,"OK","MISSING")))</f>
        <v/>
      </c>
      <c r="L160" s="31">
        <f>IF($A160="","",IF(Builders!$B157="","MISSING",IF(COUNTIFS('Title Contacts'!$A$2:$A$601,Builders!$B157,'Title Contacts'!$B$2:$B$601,"*assistant*",'Title Contacts'!$C$2:$C$601,"&lt;&gt;")&gt;0,"OK","MISSING")))</f>
        <v/>
      </c>
      <c r="M160" s="31">
        <f>IF($A160="","",COUNTIF(B160:L160,"MISSING"))</f>
        <v/>
      </c>
    </row>
    <row r="161">
      <c r="A161" s="18">
        <f>IF(Builders!$A158="","",Builders!$A158)</f>
        <v/>
      </c>
      <c r="B161" s="31">
        <f>IF($A161="","",IF(Builders!$B158="","MISSING","OK"))</f>
        <v/>
      </c>
      <c r="C161" s="31">
        <f>IF($A161="","",IF(Builders!$C158="","MISSING","OK"))</f>
        <v/>
      </c>
      <c r="D161" s="31">
        <f>IF($A161="","",IF(Builders!$D158="","MISSING","OK"))</f>
        <v/>
      </c>
      <c r="E161" s="31">
        <f>IF($A161="","",IF(Builders!$F158="","MISSING","OK"))</f>
        <v/>
      </c>
      <c r="F161" s="31">
        <f>IF($A161="","",IF(COUNTIFS(Contacts!$A$2:$A$501,$A161,Contacts!$B$2:$B$501,"*Owner*")+COUNTIFS(Contacts!$A$2:$A$501,$A161,Contacts!$F$2:$F$501,"*owner*")=0,"MISSING","OK"))</f>
        <v/>
      </c>
      <c r="G161" s="31">
        <f>IF($A161="","",IF(COUNTIFS(Contacts!$A$2:$A$501,$A161,Contacts!$B$2:$B$501,"*Listing*")+COUNTIFS(Contacts!$A$2:$A$501,$A161,Contacts!$F$2:$F$501,"*listing agent*")=0,"MISSING","OK"))</f>
        <v/>
      </c>
      <c r="H161" s="31">
        <f>IF($A161="","",IF(COUNTIFS(Contacts!$A$2:$A$501,$A161,Contacts!$B$2:$B$501,"*Builder Rep*")+COUNTIFS(Contacts!$A$2:$A$501,$A161,Contacts!$B$2:$B$501,"Sales*")=0,"MISSING","OK"))</f>
        <v/>
      </c>
      <c r="I161" s="31">
        <f>IF($A161="","",IF(COUNTIFS(Contacts!$A$2:$A$501,$A161,Contacts!$B$2:$B$501,"*Docs*")+COUNTIFS(Contacts!$A$2:$A$501,$A161,Contacts!$F$2:$F$501,"*builder doc*")=0,"MISSING","OK"))</f>
        <v/>
      </c>
      <c r="J161" s="31">
        <f>IF($A161="","",IF(COUNTIFS(Contacts!$A$2:$A$501,$A161,Contacts!$B$2:$B$501,"*Appraisal*")+COUNTIFS(Contacts!$A$2:$A$501,$A161,Contacts!$F$2:$F$501,"*apprais*")=0,"MISSING","OK"))</f>
        <v/>
      </c>
      <c r="K161" s="31">
        <f>IF($A161="","",IF(Builders!$B158="","MISSING",IF(COUNTIFS('Title Contacts'!$A$2:$A$601,Builders!$B158,'Title Contacts'!$B$2:$B$601,"*agent*",'Title Contacts'!$C$2:$C$601,"&lt;&gt;")&gt;0,"OK","MISSING")))</f>
        <v/>
      </c>
      <c r="L161" s="31">
        <f>IF($A161="","",IF(Builders!$B158="","MISSING",IF(COUNTIFS('Title Contacts'!$A$2:$A$601,Builders!$B158,'Title Contacts'!$B$2:$B$601,"*assistant*",'Title Contacts'!$C$2:$C$601,"&lt;&gt;")&gt;0,"OK","MISSING")))</f>
        <v/>
      </c>
      <c r="M161" s="31">
        <f>IF($A161="","",COUNTIF(B161:L161,"MISSING"))</f>
        <v/>
      </c>
    </row>
    <row r="162">
      <c r="A162" s="18">
        <f>IF(Builders!$A159="","",Builders!$A159)</f>
        <v/>
      </c>
      <c r="B162" s="31">
        <f>IF($A162="","",IF(Builders!$B159="","MISSING","OK"))</f>
        <v/>
      </c>
      <c r="C162" s="31">
        <f>IF($A162="","",IF(Builders!$C159="","MISSING","OK"))</f>
        <v/>
      </c>
      <c r="D162" s="31">
        <f>IF($A162="","",IF(Builders!$D159="","MISSING","OK"))</f>
        <v/>
      </c>
      <c r="E162" s="31">
        <f>IF($A162="","",IF(Builders!$F159="","MISSING","OK"))</f>
        <v/>
      </c>
      <c r="F162" s="31">
        <f>IF($A162="","",IF(COUNTIFS(Contacts!$A$2:$A$501,$A162,Contacts!$B$2:$B$501,"*Owner*")+COUNTIFS(Contacts!$A$2:$A$501,$A162,Contacts!$F$2:$F$501,"*owner*")=0,"MISSING","OK"))</f>
        <v/>
      </c>
      <c r="G162" s="31">
        <f>IF($A162="","",IF(COUNTIFS(Contacts!$A$2:$A$501,$A162,Contacts!$B$2:$B$501,"*Listing*")+COUNTIFS(Contacts!$A$2:$A$501,$A162,Contacts!$F$2:$F$501,"*listing agent*")=0,"MISSING","OK"))</f>
        <v/>
      </c>
      <c r="H162" s="31">
        <f>IF($A162="","",IF(COUNTIFS(Contacts!$A$2:$A$501,$A162,Contacts!$B$2:$B$501,"*Builder Rep*")+COUNTIFS(Contacts!$A$2:$A$501,$A162,Contacts!$B$2:$B$501,"Sales*")=0,"MISSING","OK"))</f>
        <v/>
      </c>
      <c r="I162" s="31">
        <f>IF($A162="","",IF(COUNTIFS(Contacts!$A$2:$A$501,$A162,Contacts!$B$2:$B$501,"*Docs*")+COUNTIFS(Contacts!$A$2:$A$501,$A162,Contacts!$F$2:$F$501,"*builder doc*")=0,"MISSING","OK"))</f>
        <v/>
      </c>
      <c r="J162" s="31">
        <f>IF($A162="","",IF(COUNTIFS(Contacts!$A$2:$A$501,$A162,Contacts!$B$2:$B$501,"*Appraisal*")+COUNTIFS(Contacts!$A$2:$A$501,$A162,Contacts!$F$2:$F$501,"*apprais*")=0,"MISSING","OK"))</f>
        <v/>
      </c>
      <c r="K162" s="31">
        <f>IF($A162="","",IF(Builders!$B159="","MISSING",IF(COUNTIFS('Title Contacts'!$A$2:$A$601,Builders!$B159,'Title Contacts'!$B$2:$B$601,"*agent*",'Title Contacts'!$C$2:$C$601,"&lt;&gt;")&gt;0,"OK","MISSING")))</f>
        <v/>
      </c>
      <c r="L162" s="31">
        <f>IF($A162="","",IF(Builders!$B159="","MISSING",IF(COUNTIFS('Title Contacts'!$A$2:$A$601,Builders!$B159,'Title Contacts'!$B$2:$B$601,"*assistant*",'Title Contacts'!$C$2:$C$601,"&lt;&gt;")&gt;0,"OK","MISSING")))</f>
        <v/>
      </c>
      <c r="M162" s="31">
        <f>IF($A162="","",COUNTIF(B162:L162,"MISSING"))</f>
        <v/>
      </c>
    </row>
    <row r="163">
      <c r="A163" s="18">
        <f>IF(Builders!$A160="","",Builders!$A160)</f>
        <v/>
      </c>
      <c r="B163" s="31">
        <f>IF($A163="","",IF(Builders!$B160="","MISSING","OK"))</f>
        <v/>
      </c>
      <c r="C163" s="31">
        <f>IF($A163="","",IF(Builders!$C160="","MISSING","OK"))</f>
        <v/>
      </c>
      <c r="D163" s="31">
        <f>IF($A163="","",IF(Builders!$D160="","MISSING","OK"))</f>
        <v/>
      </c>
      <c r="E163" s="31">
        <f>IF($A163="","",IF(Builders!$F160="","MISSING","OK"))</f>
        <v/>
      </c>
      <c r="F163" s="31">
        <f>IF($A163="","",IF(COUNTIFS(Contacts!$A$2:$A$501,$A163,Contacts!$B$2:$B$501,"*Owner*")+COUNTIFS(Contacts!$A$2:$A$501,$A163,Contacts!$F$2:$F$501,"*owner*")=0,"MISSING","OK"))</f>
        <v/>
      </c>
      <c r="G163" s="31">
        <f>IF($A163="","",IF(COUNTIFS(Contacts!$A$2:$A$501,$A163,Contacts!$B$2:$B$501,"*Listing*")+COUNTIFS(Contacts!$A$2:$A$501,$A163,Contacts!$F$2:$F$501,"*listing agent*")=0,"MISSING","OK"))</f>
        <v/>
      </c>
      <c r="H163" s="31">
        <f>IF($A163="","",IF(COUNTIFS(Contacts!$A$2:$A$501,$A163,Contacts!$B$2:$B$501,"*Builder Rep*")+COUNTIFS(Contacts!$A$2:$A$501,$A163,Contacts!$B$2:$B$501,"Sales*")=0,"MISSING","OK"))</f>
        <v/>
      </c>
      <c r="I163" s="31">
        <f>IF($A163="","",IF(COUNTIFS(Contacts!$A$2:$A$501,$A163,Contacts!$B$2:$B$501,"*Docs*")+COUNTIFS(Contacts!$A$2:$A$501,$A163,Contacts!$F$2:$F$501,"*builder doc*")=0,"MISSING","OK"))</f>
        <v/>
      </c>
      <c r="J163" s="31">
        <f>IF($A163="","",IF(COUNTIFS(Contacts!$A$2:$A$501,$A163,Contacts!$B$2:$B$501,"*Appraisal*")+COUNTIFS(Contacts!$A$2:$A$501,$A163,Contacts!$F$2:$F$501,"*apprais*")=0,"MISSING","OK"))</f>
        <v/>
      </c>
      <c r="K163" s="31">
        <f>IF($A163="","",IF(Builders!$B160="","MISSING",IF(COUNTIFS('Title Contacts'!$A$2:$A$601,Builders!$B160,'Title Contacts'!$B$2:$B$601,"*agent*",'Title Contacts'!$C$2:$C$601,"&lt;&gt;")&gt;0,"OK","MISSING")))</f>
        <v/>
      </c>
      <c r="L163" s="31">
        <f>IF($A163="","",IF(Builders!$B160="","MISSING",IF(COUNTIFS('Title Contacts'!$A$2:$A$601,Builders!$B160,'Title Contacts'!$B$2:$B$601,"*assistant*",'Title Contacts'!$C$2:$C$601,"&lt;&gt;")&gt;0,"OK","MISSING")))</f>
        <v/>
      </c>
      <c r="M163" s="31">
        <f>IF($A163="","",COUNTIF(B163:L163,"MISSING"))</f>
        <v/>
      </c>
    </row>
    <row r="164">
      <c r="A164" s="18">
        <f>IF(Builders!$A161="","",Builders!$A161)</f>
        <v/>
      </c>
      <c r="B164" s="31">
        <f>IF($A164="","",IF(Builders!$B161="","MISSING","OK"))</f>
        <v/>
      </c>
      <c r="C164" s="31">
        <f>IF($A164="","",IF(Builders!$C161="","MISSING","OK"))</f>
        <v/>
      </c>
      <c r="D164" s="31">
        <f>IF($A164="","",IF(Builders!$D161="","MISSING","OK"))</f>
        <v/>
      </c>
      <c r="E164" s="31">
        <f>IF($A164="","",IF(Builders!$F161="","MISSING","OK"))</f>
        <v/>
      </c>
      <c r="F164" s="31">
        <f>IF($A164="","",IF(COUNTIFS(Contacts!$A$2:$A$501,$A164,Contacts!$B$2:$B$501,"*Owner*")+COUNTIFS(Contacts!$A$2:$A$501,$A164,Contacts!$F$2:$F$501,"*owner*")=0,"MISSING","OK"))</f>
        <v/>
      </c>
      <c r="G164" s="31">
        <f>IF($A164="","",IF(COUNTIFS(Contacts!$A$2:$A$501,$A164,Contacts!$B$2:$B$501,"*Listing*")+COUNTIFS(Contacts!$A$2:$A$501,$A164,Contacts!$F$2:$F$501,"*listing agent*")=0,"MISSING","OK"))</f>
        <v/>
      </c>
      <c r="H164" s="31">
        <f>IF($A164="","",IF(COUNTIFS(Contacts!$A$2:$A$501,$A164,Contacts!$B$2:$B$501,"*Builder Rep*")+COUNTIFS(Contacts!$A$2:$A$501,$A164,Contacts!$B$2:$B$501,"Sales*")=0,"MISSING","OK"))</f>
        <v/>
      </c>
      <c r="I164" s="31">
        <f>IF($A164="","",IF(COUNTIFS(Contacts!$A$2:$A$501,$A164,Contacts!$B$2:$B$501,"*Docs*")+COUNTIFS(Contacts!$A$2:$A$501,$A164,Contacts!$F$2:$F$501,"*builder doc*")=0,"MISSING","OK"))</f>
        <v/>
      </c>
      <c r="J164" s="31">
        <f>IF($A164="","",IF(COUNTIFS(Contacts!$A$2:$A$501,$A164,Contacts!$B$2:$B$501,"*Appraisal*")+COUNTIFS(Contacts!$A$2:$A$501,$A164,Contacts!$F$2:$F$501,"*apprais*")=0,"MISSING","OK"))</f>
        <v/>
      </c>
      <c r="K164" s="31">
        <f>IF($A164="","",IF(Builders!$B161="","MISSING",IF(COUNTIFS('Title Contacts'!$A$2:$A$601,Builders!$B161,'Title Contacts'!$B$2:$B$601,"*agent*",'Title Contacts'!$C$2:$C$601,"&lt;&gt;")&gt;0,"OK","MISSING")))</f>
        <v/>
      </c>
      <c r="L164" s="31">
        <f>IF($A164="","",IF(Builders!$B161="","MISSING",IF(COUNTIFS('Title Contacts'!$A$2:$A$601,Builders!$B161,'Title Contacts'!$B$2:$B$601,"*assistant*",'Title Contacts'!$C$2:$C$601,"&lt;&gt;")&gt;0,"OK","MISSING")))</f>
        <v/>
      </c>
      <c r="M164" s="31">
        <f>IF($A164="","",COUNTIF(B164:L164,"MISSING"))</f>
        <v/>
      </c>
    </row>
    <row r="165">
      <c r="A165" s="18">
        <f>IF(Builders!$A162="","",Builders!$A162)</f>
        <v/>
      </c>
      <c r="B165" s="31">
        <f>IF($A165="","",IF(Builders!$B162="","MISSING","OK"))</f>
        <v/>
      </c>
      <c r="C165" s="31">
        <f>IF($A165="","",IF(Builders!$C162="","MISSING","OK"))</f>
        <v/>
      </c>
      <c r="D165" s="31">
        <f>IF($A165="","",IF(Builders!$D162="","MISSING","OK"))</f>
        <v/>
      </c>
      <c r="E165" s="31">
        <f>IF($A165="","",IF(Builders!$F162="","MISSING","OK"))</f>
        <v/>
      </c>
      <c r="F165" s="31">
        <f>IF($A165="","",IF(COUNTIFS(Contacts!$A$2:$A$501,$A165,Contacts!$B$2:$B$501,"*Owner*")+COUNTIFS(Contacts!$A$2:$A$501,$A165,Contacts!$F$2:$F$501,"*owner*")=0,"MISSING","OK"))</f>
        <v/>
      </c>
      <c r="G165" s="31">
        <f>IF($A165="","",IF(COUNTIFS(Contacts!$A$2:$A$501,$A165,Contacts!$B$2:$B$501,"*Listing*")+COUNTIFS(Contacts!$A$2:$A$501,$A165,Contacts!$F$2:$F$501,"*listing agent*")=0,"MISSING","OK"))</f>
        <v/>
      </c>
      <c r="H165" s="31">
        <f>IF($A165="","",IF(COUNTIFS(Contacts!$A$2:$A$501,$A165,Contacts!$B$2:$B$501,"*Builder Rep*")+COUNTIFS(Contacts!$A$2:$A$501,$A165,Contacts!$B$2:$B$501,"Sales*")=0,"MISSING","OK"))</f>
        <v/>
      </c>
      <c r="I165" s="31">
        <f>IF($A165="","",IF(COUNTIFS(Contacts!$A$2:$A$501,$A165,Contacts!$B$2:$B$501,"*Docs*")+COUNTIFS(Contacts!$A$2:$A$501,$A165,Contacts!$F$2:$F$501,"*builder doc*")=0,"MISSING","OK"))</f>
        <v/>
      </c>
      <c r="J165" s="31">
        <f>IF($A165="","",IF(COUNTIFS(Contacts!$A$2:$A$501,$A165,Contacts!$B$2:$B$501,"*Appraisal*")+COUNTIFS(Contacts!$A$2:$A$501,$A165,Contacts!$F$2:$F$501,"*apprais*")=0,"MISSING","OK"))</f>
        <v/>
      </c>
      <c r="K165" s="31">
        <f>IF($A165="","",IF(Builders!$B162="","MISSING",IF(COUNTIFS('Title Contacts'!$A$2:$A$601,Builders!$B162,'Title Contacts'!$B$2:$B$601,"*agent*",'Title Contacts'!$C$2:$C$601,"&lt;&gt;")&gt;0,"OK","MISSING")))</f>
        <v/>
      </c>
      <c r="L165" s="31">
        <f>IF($A165="","",IF(Builders!$B162="","MISSING",IF(COUNTIFS('Title Contacts'!$A$2:$A$601,Builders!$B162,'Title Contacts'!$B$2:$B$601,"*assistant*",'Title Contacts'!$C$2:$C$601,"&lt;&gt;")&gt;0,"OK","MISSING")))</f>
        <v/>
      </c>
      <c r="M165" s="31">
        <f>IF($A165="","",COUNTIF(B165:L165,"MISSING"))</f>
        <v/>
      </c>
    </row>
    <row r="166">
      <c r="A166" s="18">
        <f>IF(Builders!$A163="","",Builders!$A163)</f>
        <v/>
      </c>
      <c r="B166" s="31">
        <f>IF($A166="","",IF(Builders!$B163="","MISSING","OK"))</f>
        <v/>
      </c>
      <c r="C166" s="31">
        <f>IF($A166="","",IF(Builders!$C163="","MISSING","OK"))</f>
        <v/>
      </c>
      <c r="D166" s="31">
        <f>IF($A166="","",IF(Builders!$D163="","MISSING","OK"))</f>
        <v/>
      </c>
      <c r="E166" s="31">
        <f>IF($A166="","",IF(Builders!$F163="","MISSING","OK"))</f>
        <v/>
      </c>
      <c r="F166" s="31">
        <f>IF($A166="","",IF(COUNTIFS(Contacts!$A$2:$A$501,$A166,Contacts!$B$2:$B$501,"*Owner*")+COUNTIFS(Contacts!$A$2:$A$501,$A166,Contacts!$F$2:$F$501,"*owner*")=0,"MISSING","OK"))</f>
        <v/>
      </c>
      <c r="G166" s="31">
        <f>IF($A166="","",IF(COUNTIFS(Contacts!$A$2:$A$501,$A166,Contacts!$B$2:$B$501,"*Listing*")+COUNTIFS(Contacts!$A$2:$A$501,$A166,Contacts!$F$2:$F$501,"*listing agent*")=0,"MISSING","OK"))</f>
        <v/>
      </c>
      <c r="H166" s="31">
        <f>IF($A166="","",IF(COUNTIFS(Contacts!$A$2:$A$501,$A166,Contacts!$B$2:$B$501,"*Builder Rep*")+COUNTIFS(Contacts!$A$2:$A$501,$A166,Contacts!$B$2:$B$501,"Sales*")=0,"MISSING","OK"))</f>
        <v/>
      </c>
      <c r="I166" s="31">
        <f>IF($A166="","",IF(COUNTIFS(Contacts!$A$2:$A$501,$A166,Contacts!$B$2:$B$501,"*Docs*")+COUNTIFS(Contacts!$A$2:$A$501,$A166,Contacts!$F$2:$F$501,"*builder doc*")=0,"MISSING","OK"))</f>
        <v/>
      </c>
      <c r="J166" s="31">
        <f>IF($A166="","",IF(COUNTIFS(Contacts!$A$2:$A$501,$A166,Contacts!$B$2:$B$501,"*Appraisal*")+COUNTIFS(Contacts!$A$2:$A$501,$A166,Contacts!$F$2:$F$501,"*apprais*")=0,"MISSING","OK"))</f>
        <v/>
      </c>
      <c r="K166" s="31">
        <f>IF($A166="","",IF(Builders!$B163="","MISSING",IF(COUNTIFS('Title Contacts'!$A$2:$A$601,Builders!$B163,'Title Contacts'!$B$2:$B$601,"*agent*",'Title Contacts'!$C$2:$C$601,"&lt;&gt;")&gt;0,"OK","MISSING")))</f>
        <v/>
      </c>
      <c r="L166" s="31">
        <f>IF($A166="","",IF(Builders!$B163="","MISSING",IF(COUNTIFS('Title Contacts'!$A$2:$A$601,Builders!$B163,'Title Contacts'!$B$2:$B$601,"*assistant*",'Title Contacts'!$C$2:$C$601,"&lt;&gt;")&gt;0,"OK","MISSING")))</f>
        <v/>
      </c>
      <c r="M166" s="31">
        <f>IF($A166="","",COUNTIF(B166:L166,"MISSING"))</f>
        <v/>
      </c>
    </row>
    <row r="167">
      <c r="A167" s="18">
        <f>IF(Builders!$A164="","",Builders!$A164)</f>
        <v/>
      </c>
      <c r="B167" s="31">
        <f>IF($A167="","",IF(Builders!$B164="","MISSING","OK"))</f>
        <v/>
      </c>
      <c r="C167" s="31">
        <f>IF($A167="","",IF(Builders!$C164="","MISSING","OK"))</f>
        <v/>
      </c>
      <c r="D167" s="31">
        <f>IF($A167="","",IF(Builders!$D164="","MISSING","OK"))</f>
        <v/>
      </c>
      <c r="E167" s="31">
        <f>IF($A167="","",IF(Builders!$F164="","MISSING","OK"))</f>
        <v/>
      </c>
      <c r="F167" s="31">
        <f>IF($A167="","",IF(COUNTIFS(Contacts!$A$2:$A$501,$A167,Contacts!$B$2:$B$501,"*Owner*")+COUNTIFS(Contacts!$A$2:$A$501,$A167,Contacts!$F$2:$F$501,"*owner*")=0,"MISSING","OK"))</f>
        <v/>
      </c>
      <c r="G167" s="31">
        <f>IF($A167="","",IF(COUNTIFS(Contacts!$A$2:$A$501,$A167,Contacts!$B$2:$B$501,"*Listing*")+COUNTIFS(Contacts!$A$2:$A$501,$A167,Contacts!$F$2:$F$501,"*listing agent*")=0,"MISSING","OK"))</f>
        <v/>
      </c>
      <c r="H167" s="31">
        <f>IF($A167="","",IF(COUNTIFS(Contacts!$A$2:$A$501,$A167,Contacts!$B$2:$B$501,"*Builder Rep*")+COUNTIFS(Contacts!$A$2:$A$501,$A167,Contacts!$B$2:$B$501,"Sales*")=0,"MISSING","OK"))</f>
        <v/>
      </c>
      <c r="I167" s="31">
        <f>IF($A167="","",IF(COUNTIFS(Contacts!$A$2:$A$501,$A167,Contacts!$B$2:$B$501,"*Docs*")+COUNTIFS(Contacts!$A$2:$A$501,$A167,Contacts!$F$2:$F$501,"*builder doc*")=0,"MISSING","OK"))</f>
        <v/>
      </c>
      <c r="J167" s="31">
        <f>IF($A167="","",IF(COUNTIFS(Contacts!$A$2:$A$501,$A167,Contacts!$B$2:$B$501,"*Appraisal*")+COUNTIFS(Contacts!$A$2:$A$501,$A167,Contacts!$F$2:$F$501,"*apprais*")=0,"MISSING","OK"))</f>
        <v/>
      </c>
      <c r="K167" s="31">
        <f>IF($A167="","",IF(Builders!$B164="","MISSING",IF(COUNTIFS('Title Contacts'!$A$2:$A$601,Builders!$B164,'Title Contacts'!$B$2:$B$601,"*agent*",'Title Contacts'!$C$2:$C$601,"&lt;&gt;")&gt;0,"OK","MISSING")))</f>
        <v/>
      </c>
      <c r="L167" s="31">
        <f>IF($A167="","",IF(Builders!$B164="","MISSING",IF(COUNTIFS('Title Contacts'!$A$2:$A$601,Builders!$B164,'Title Contacts'!$B$2:$B$601,"*assistant*",'Title Contacts'!$C$2:$C$601,"&lt;&gt;")&gt;0,"OK","MISSING")))</f>
        <v/>
      </c>
      <c r="M167" s="31">
        <f>IF($A167="","",COUNTIF(B167:L167,"MISSING"))</f>
        <v/>
      </c>
    </row>
    <row r="168">
      <c r="A168" s="18">
        <f>IF(Builders!$A165="","",Builders!$A165)</f>
        <v/>
      </c>
      <c r="B168" s="31">
        <f>IF($A168="","",IF(Builders!$B165="","MISSING","OK"))</f>
        <v/>
      </c>
      <c r="C168" s="31">
        <f>IF($A168="","",IF(Builders!$C165="","MISSING","OK"))</f>
        <v/>
      </c>
      <c r="D168" s="31">
        <f>IF($A168="","",IF(Builders!$D165="","MISSING","OK"))</f>
        <v/>
      </c>
      <c r="E168" s="31">
        <f>IF($A168="","",IF(Builders!$F165="","MISSING","OK"))</f>
        <v/>
      </c>
      <c r="F168" s="31">
        <f>IF($A168="","",IF(COUNTIFS(Contacts!$A$2:$A$501,$A168,Contacts!$B$2:$B$501,"*Owner*")+COUNTIFS(Contacts!$A$2:$A$501,$A168,Contacts!$F$2:$F$501,"*owner*")=0,"MISSING","OK"))</f>
        <v/>
      </c>
      <c r="G168" s="31">
        <f>IF($A168="","",IF(COUNTIFS(Contacts!$A$2:$A$501,$A168,Contacts!$B$2:$B$501,"*Listing*")+COUNTIFS(Contacts!$A$2:$A$501,$A168,Contacts!$F$2:$F$501,"*listing agent*")=0,"MISSING","OK"))</f>
        <v/>
      </c>
      <c r="H168" s="31">
        <f>IF($A168="","",IF(COUNTIFS(Contacts!$A$2:$A$501,$A168,Contacts!$B$2:$B$501,"*Builder Rep*")+COUNTIFS(Contacts!$A$2:$A$501,$A168,Contacts!$B$2:$B$501,"Sales*")=0,"MISSING","OK"))</f>
        <v/>
      </c>
      <c r="I168" s="31">
        <f>IF($A168="","",IF(COUNTIFS(Contacts!$A$2:$A$501,$A168,Contacts!$B$2:$B$501,"*Docs*")+COUNTIFS(Contacts!$A$2:$A$501,$A168,Contacts!$F$2:$F$501,"*builder doc*")=0,"MISSING","OK"))</f>
        <v/>
      </c>
      <c r="J168" s="31">
        <f>IF($A168="","",IF(COUNTIFS(Contacts!$A$2:$A$501,$A168,Contacts!$B$2:$B$501,"*Appraisal*")+COUNTIFS(Contacts!$A$2:$A$501,$A168,Contacts!$F$2:$F$501,"*apprais*")=0,"MISSING","OK"))</f>
        <v/>
      </c>
      <c r="K168" s="31">
        <f>IF($A168="","",IF(Builders!$B165="","MISSING",IF(COUNTIFS('Title Contacts'!$A$2:$A$601,Builders!$B165,'Title Contacts'!$B$2:$B$601,"*agent*",'Title Contacts'!$C$2:$C$601,"&lt;&gt;")&gt;0,"OK","MISSING")))</f>
        <v/>
      </c>
      <c r="L168" s="31">
        <f>IF($A168="","",IF(Builders!$B165="","MISSING",IF(COUNTIFS('Title Contacts'!$A$2:$A$601,Builders!$B165,'Title Contacts'!$B$2:$B$601,"*assistant*",'Title Contacts'!$C$2:$C$601,"&lt;&gt;")&gt;0,"OK","MISSING")))</f>
        <v/>
      </c>
      <c r="M168" s="31">
        <f>IF($A168="","",COUNTIF(B168:L168,"MISSING"))</f>
        <v/>
      </c>
    </row>
    <row r="169">
      <c r="A169" s="18">
        <f>IF(Builders!$A166="","",Builders!$A166)</f>
        <v/>
      </c>
      <c r="B169" s="31">
        <f>IF($A169="","",IF(Builders!$B166="","MISSING","OK"))</f>
        <v/>
      </c>
      <c r="C169" s="31">
        <f>IF($A169="","",IF(Builders!$C166="","MISSING","OK"))</f>
        <v/>
      </c>
      <c r="D169" s="31">
        <f>IF($A169="","",IF(Builders!$D166="","MISSING","OK"))</f>
        <v/>
      </c>
      <c r="E169" s="31">
        <f>IF($A169="","",IF(Builders!$F166="","MISSING","OK"))</f>
        <v/>
      </c>
      <c r="F169" s="31">
        <f>IF($A169="","",IF(COUNTIFS(Contacts!$A$2:$A$501,$A169,Contacts!$B$2:$B$501,"*Owner*")+COUNTIFS(Contacts!$A$2:$A$501,$A169,Contacts!$F$2:$F$501,"*owner*")=0,"MISSING","OK"))</f>
        <v/>
      </c>
      <c r="G169" s="31">
        <f>IF($A169="","",IF(COUNTIFS(Contacts!$A$2:$A$501,$A169,Contacts!$B$2:$B$501,"*Listing*")+COUNTIFS(Contacts!$A$2:$A$501,$A169,Contacts!$F$2:$F$501,"*listing agent*")=0,"MISSING","OK"))</f>
        <v/>
      </c>
      <c r="H169" s="31">
        <f>IF($A169="","",IF(COUNTIFS(Contacts!$A$2:$A$501,$A169,Contacts!$B$2:$B$501,"*Builder Rep*")+COUNTIFS(Contacts!$A$2:$A$501,$A169,Contacts!$B$2:$B$501,"Sales*")=0,"MISSING","OK"))</f>
        <v/>
      </c>
      <c r="I169" s="31">
        <f>IF($A169="","",IF(COUNTIFS(Contacts!$A$2:$A$501,$A169,Contacts!$B$2:$B$501,"*Docs*")+COUNTIFS(Contacts!$A$2:$A$501,$A169,Contacts!$F$2:$F$501,"*builder doc*")=0,"MISSING","OK"))</f>
        <v/>
      </c>
      <c r="J169" s="31">
        <f>IF($A169="","",IF(COUNTIFS(Contacts!$A$2:$A$501,$A169,Contacts!$B$2:$B$501,"*Appraisal*")+COUNTIFS(Contacts!$A$2:$A$501,$A169,Contacts!$F$2:$F$501,"*apprais*")=0,"MISSING","OK"))</f>
        <v/>
      </c>
      <c r="K169" s="31">
        <f>IF($A169="","",IF(Builders!$B166="","MISSING",IF(COUNTIFS('Title Contacts'!$A$2:$A$601,Builders!$B166,'Title Contacts'!$B$2:$B$601,"*agent*",'Title Contacts'!$C$2:$C$601,"&lt;&gt;")&gt;0,"OK","MISSING")))</f>
        <v/>
      </c>
      <c r="L169" s="31">
        <f>IF($A169="","",IF(Builders!$B166="","MISSING",IF(COUNTIFS('Title Contacts'!$A$2:$A$601,Builders!$B166,'Title Contacts'!$B$2:$B$601,"*assistant*",'Title Contacts'!$C$2:$C$601,"&lt;&gt;")&gt;0,"OK","MISSING")))</f>
        <v/>
      </c>
      <c r="M169" s="31">
        <f>IF($A169="","",COUNTIF(B169:L169,"MISSING"))</f>
        <v/>
      </c>
    </row>
    <row r="170">
      <c r="A170" s="18">
        <f>IF(Builders!$A167="","",Builders!$A167)</f>
        <v/>
      </c>
      <c r="B170" s="31">
        <f>IF($A170="","",IF(Builders!$B167="","MISSING","OK"))</f>
        <v/>
      </c>
      <c r="C170" s="31">
        <f>IF($A170="","",IF(Builders!$C167="","MISSING","OK"))</f>
        <v/>
      </c>
      <c r="D170" s="31">
        <f>IF($A170="","",IF(Builders!$D167="","MISSING","OK"))</f>
        <v/>
      </c>
      <c r="E170" s="31">
        <f>IF($A170="","",IF(Builders!$F167="","MISSING","OK"))</f>
        <v/>
      </c>
      <c r="F170" s="31">
        <f>IF($A170="","",IF(COUNTIFS(Contacts!$A$2:$A$501,$A170,Contacts!$B$2:$B$501,"*Owner*")+COUNTIFS(Contacts!$A$2:$A$501,$A170,Contacts!$F$2:$F$501,"*owner*")=0,"MISSING","OK"))</f>
        <v/>
      </c>
      <c r="G170" s="31">
        <f>IF($A170="","",IF(COUNTIFS(Contacts!$A$2:$A$501,$A170,Contacts!$B$2:$B$501,"*Listing*")+COUNTIFS(Contacts!$A$2:$A$501,$A170,Contacts!$F$2:$F$501,"*listing agent*")=0,"MISSING","OK"))</f>
        <v/>
      </c>
      <c r="H170" s="31">
        <f>IF($A170="","",IF(COUNTIFS(Contacts!$A$2:$A$501,$A170,Contacts!$B$2:$B$501,"*Builder Rep*")+COUNTIFS(Contacts!$A$2:$A$501,$A170,Contacts!$B$2:$B$501,"Sales*")=0,"MISSING","OK"))</f>
        <v/>
      </c>
      <c r="I170" s="31">
        <f>IF($A170="","",IF(COUNTIFS(Contacts!$A$2:$A$501,$A170,Contacts!$B$2:$B$501,"*Docs*")+COUNTIFS(Contacts!$A$2:$A$501,$A170,Contacts!$F$2:$F$501,"*builder doc*")=0,"MISSING","OK"))</f>
        <v/>
      </c>
      <c r="J170" s="31">
        <f>IF($A170="","",IF(COUNTIFS(Contacts!$A$2:$A$501,$A170,Contacts!$B$2:$B$501,"*Appraisal*")+COUNTIFS(Contacts!$A$2:$A$501,$A170,Contacts!$F$2:$F$501,"*apprais*")=0,"MISSING","OK"))</f>
        <v/>
      </c>
      <c r="K170" s="31">
        <f>IF($A170="","",IF(Builders!$B167="","MISSING",IF(COUNTIFS('Title Contacts'!$A$2:$A$601,Builders!$B167,'Title Contacts'!$B$2:$B$601,"*agent*",'Title Contacts'!$C$2:$C$601,"&lt;&gt;")&gt;0,"OK","MISSING")))</f>
        <v/>
      </c>
      <c r="L170" s="31">
        <f>IF($A170="","",IF(Builders!$B167="","MISSING",IF(COUNTIFS('Title Contacts'!$A$2:$A$601,Builders!$B167,'Title Contacts'!$B$2:$B$601,"*assistant*",'Title Contacts'!$C$2:$C$601,"&lt;&gt;")&gt;0,"OK","MISSING")))</f>
        <v/>
      </c>
      <c r="M170" s="31">
        <f>IF($A170="","",COUNTIF(B170:L170,"MISSING"))</f>
        <v/>
      </c>
    </row>
    <row r="171">
      <c r="A171" s="18">
        <f>IF(Builders!$A168="","",Builders!$A168)</f>
        <v/>
      </c>
      <c r="B171" s="31">
        <f>IF($A171="","",IF(Builders!$B168="","MISSING","OK"))</f>
        <v/>
      </c>
      <c r="C171" s="31">
        <f>IF($A171="","",IF(Builders!$C168="","MISSING","OK"))</f>
        <v/>
      </c>
      <c r="D171" s="31">
        <f>IF($A171="","",IF(Builders!$D168="","MISSING","OK"))</f>
        <v/>
      </c>
      <c r="E171" s="31">
        <f>IF($A171="","",IF(Builders!$F168="","MISSING","OK"))</f>
        <v/>
      </c>
      <c r="F171" s="31">
        <f>IF($A171="","",IF(COUNTIFS(Contacts!$A$2:$A$501,$A171,Contacts!$B$2:$B$501,"*Owner*")+COUNTIFS(Contacts!$A$2:$A$501,$A171,Contacts!$F$2:$F$501,"*owner*")=0,"MISSING","OK"))</f>
        <v/>
      </c>
      <c r="G171" s="31">
        <f>IF($A171="","",IF(COUNTIFS(Contacts!$A$2:$A$501,$A171,Contacts!$B$2:$B$501,"*Listing*")+COUNTIFS(Contacts!$A$2:$A$501,$A171,Contacts!$F$2:$F$501,"*listing agent*")=0,"MISSING","OK"))</f>
        <v/>
      </c>
      <c r="H171" s="31">
        <f>IF($A171="","",IF(COUNTIFS(Contacts!$A$2:$A$501,$A171,Contacts!$B$2:$B$501,"*Builder Rep*")+COUNTIFS(Contacts!$A$2:$A$501,$A171,Contacts!$B$2:$B$501,"Sales*")=0,"MISSING","OK"))</f>
        <v/>
      </c>
      <c r="I171" s="31">
        <f>IF($A171="","",IF(COUNTIFS(Contacts!$A$2:$A$501,$A171,Contacts!$B$2:$B$501,"*Docs*")+COUNTIFS(Contacts!$A$2:$A$501,$A171,Contacts!$F$2:$F$501,"*builder doc*")=0,"MISSING","OK"))</f>
        <v/>
      </c>
      <c r="J171" s="31">
        <f>IF($A171="","",IF(COUNTIFS(Contacts!$A$2:$A$501,$A171,Contacts!$B$2:$B$501,"*Appraisal*")+COUNTIFS(Contacts!$A$2:$A$501,$A171,Contacts!$F$2:$F$501,"*apprais*")=0,"MISSING","OK"))</f>
        <v/>
      </c>
      <c r="K171" s="31">
        <f>IF($A171="","",IF(Builders!$B168="","MISSING",IF(COUNTIFS('Title Contacts'!$A$2:$A$601,Builders!$B168,'Title Contacts'!$B$2:$B$601,"*agent*",'Title Contacts'!$C$2:$C$601,"&lt;&gt;")&gt;0,"OK","MISSING")))</f>
        <v/>
      </c>
      <c r="L171" s="31">
        <f>IF($A171="","",IF(Builders!$B168="","MISSING",IF(COUNTIFS('Title Contacts'!$A$2:$A$601,Builders!$B168,'Title Contacts'!$B$2:$B$601,"*assistant*",'Title Contacts'!$C$2:$C$601,"&lt;&gt;")&gt;0,"OK","MISSING")))</f>
        <v/>
      </c>
      <c r="M171" s="31">
        <f>IF($A171="","",COUNTIF(B171:L171,"MISSING"))</f>
        <v/>
      </c>
    </row>
    <row r="172">
      <c r="A172" s="18">
        <f>IF(Builders!$A169="","",Builders!$A169)</f>
        <v/>
      </c>
      <c r="B172" s="31">
        <f>IF($A172="","",IF(Builders!$B169="","MISSING","OK"))</f>
        <v/>
      </c>
      <c r="C172" s="31">
        <f>IF($A172="","",IF(Builders!$C169="","MISSING","OK"))</f>
        <v/>
      </c>
      <c r="D172" s="31">
        <f>IF($A172="","",IF(Builders!$D169="","MISSING","OK"))</f>
        <v/>
      </c>
      <c r="E172" s="31">
        <f>IF($A172="","",IF(Builders!$F169="","MISSING","OK"))</f>
        <v/>
      </c>
      <c r="F172" s="31">
        <f>IF($A172="","",IF(COUNTIFS(Contacts!$A$2:$A$501,$A172,Contacts!$B$2:$B$501,"*Owner*")+COUNTIFS(Contacts!$A$2:$A$501,$A172,Contacts!$F$2:$F$501,"*owner*")=0,"MISSING","OK"))</f>
        <v/>
      </c>
      <c r="G172" s="31">
        <f>IF($A172="","",IF(COUNTIFS(Contacts!$A$2:$A$501,$A172,Contacts!$B$2:$B$501,"*Listing*")+COUNTIFS(Contacts!$A$2:$A$501,$A172,Contacts!$F$2:$F$501,"*listing agent*")=0,"MISSING","OK"))</f>
        <v/>
      </c>
      <c r="H172" s="31">
        <f>IF($A172="","",IF(COUNTIFS(Contacts!$A$2:$A$501,$A172,Contacts!$B$2:$B$501,"*Builder Rep*")+COUNTIFS(Contacts!$A$2:$A$501,$A172,Contacts!$B$2:$B$501,"Sales*")=0,"MISSING","OK"))</f>
        <v/>
      </c>
      <c r="I172" s="31">
        <f>IF($A172="","",IF(COUNTIFS(Contacts!$A$2:$A$501,$A172,Contacts!$B$2:$B$501,"*Docs*")+COUNTIFS(Contacts!$A$2:$A$501,$A172,Contacts!$F$2:$F$501,"*builder doc*")=0,"MISSING","OK"))</f>
        <v/>
      </c>
      <c r="J172" s="31">
        <f>IF($A172="","",IF(COUNTIFS(Contacts!$A$2:$A$501,$A172,Contacts!$B$2:$B$501,"*Appraisal*")+COUNTIFS(Contacts!$A$2:$A$501,$A172,Contacts!$F$2:$F$501,"*apprais*")=0,"MISSING","OK"))</f>
        <v/>
      </c>
      <c r="K172" s="31">
        <f>IF($A172="","",IF(Builders!$B169="","MISSING",IF(COUNTIFS('Title Contacts'!$A$2:$A$601,Builders!$B169,'Title Contacts'!$B$2:$B$601,"*agent*",'Title Contacts'!$C$2:$C$601,"&lt;&gt;")&gt;0,"OK","MISSING")))</f>
        <v/>
      </c>
      <c r="L172" s="31">
        <f>IF($A172="","",IF(Builders!$B169="","MISSING",IF(COUNTIFS('Title Contacts'!$A$2:$A$601,Builders!$B169,'Title Contacts'!$B$2:$B$601,"*assistant*",'Title Contacts'!$C$2:$C$601,"&lt;&gt;")&gt;0,"OK","MISSING")))</f>
        <v/>
      </c>
      <c r="M172" s="31">
        <f>IF($A172="","",COUNTIF(B172:L172,"MISSING"))</f>
        <v/>
      </c>
    </row>
    <row r="173">
      <c r="A173" s="18">
        <f>IF(Builders!$A170="","",Builders!$A170)</f>
        <v/>
      </c>
      <c r="B173" s="31">
        <f>IF($A173="","",IF(Builders!$B170="","MISSING","OK"))</f>
        <v/>
      </c>
      <c r="C173" s="31">
        <f>IF($A173="","",IF(Builders!$C170="","MISSING","OK"))</f>
        <v/>
      </c>
      <c r="D173" s="31">
        <f>IF($A173="","",IF(Builders!$D170="","MISSING","OK"))</f>
        <v/>
      </c>
      <c r="E173" s="31">
        <f>IF($A173="","",IF(Builders!$F170="","MISSING","OK"))</f>
        <v/>
      </c>
      <c r="F173" s="31">
        <f>IF($A173="","",IF(COUNTIFS(Contacts!$A$2:$A$501,$A173,Contacts!$B$2:$B$501,"*Owner*")+COUNTIFS(Contacts!$A$2:$A$501,$A173,Contacts!$F$2:$F$501,"*owner*")=0,"MISSING","OK"))</f>
        <v/>
      </c>
      <c r="G173" s="31">
        <f>IF($A173="","",IF(COUNTIFS(Contacts!$A$2:$A$501,$A173,Contacts!$B$2:$B$501,"*Listing*")+COUNTIFS(Contacts!$A$2:$A$501,$A173,Contacts!$F$2:$F$501,"*listing agent*")=0,"MISSING","OK"))</f>
        <v/>
      </c>
      <c r="H173" s="31">
        <f>IF($A173="","",IF(COUNTIFS(Contacts!$A$2:$A$501,$A173,Contacts!$B$2:$B$501,"*Builder Rep*")+COUNTIFS(Contacts!$A$2:$A$501,$A173,Contacts!$B$2:$B$501,"Sales*")=0,"MISSING","OK"))</f>
        <v/>
      </c>
      <c r="I173" s="31">
        <f>IF($A173="","",IF(COUNTIFS(Contacts!$A$2:$A$501,$A173,Contacts!$B$2:$B$501,"*Docs*")+COUNTIFS(Contacts!$A$2:$A$501,$A173,Contacts!$F$2:$F$501,"*builder doc*")=0,"MISSING","OK"))</f>
        <v/>
      </c>
      <c r="J173" s="31">
        <f>IF($A173="","",IF(COUNTIFS(Contacts!$A$2:$A$501,$A173,Contacts!$B$2:$B$501,"*Appraisal*")+COUNTIFS(Contacts!$A$2:$A$501,$A173,Contacts!$F$2:$F$501,"*apprais*")=0,"MISSING","OK"))</f>
        <v/>
      </c>
      <c r="K173" s="31">
        <f>IF($A173="","",IF(Builders!$B170="","MISSING",IF(COUNTIFS('Title Contacts'!$A$2:$A$601,Builders!$B170,'Title Contacts'!$B$2:$B$601,"*agent*",'Title Contacts'!$C$2:$C$601,"&lt;&gt;")&gt;0,"OK","MISSING")))</f>
        <v/>
      </c>
      <c r="L173" s="31">
        <f>IF($A173="","",IF(Builders!$B170="","MISSING",IF(COUNTIFS('Title Contacts'!$A$2:$A$601,Builders!$B170,'Title Contacts'!$B$2:$B$601,"*assistant*",'Title Contacts'!$C$2:$C$601,"&lt;&gt;")&gt;0,"OK","MISSING")))</f>
        <v/>
      </c>
      <c r="M173" s="31">
        <f>IF($A173="","",COUNTIF(B173:L173,"MISSING"))</f>
        <v/>
      </c>
    </row>
    <row r="174">
      <c r="A174" s="18">
        <f>IF(Builders!$A171="","",Builders!$A171)</f>
        <v/>
      </c>
      <c r="B174" s="31">
        <f>IF($A174="","",IF(Builders!$B171="","MISSING","OK"))</f>
        <v/>
      </c>
      <c r="C174" s="31">
        <f>IF($A174="","",IF(Builders!$C171="","MISSING","OK"))</f>
        <v/>
      </c>
      <c r="D174" s="31">
        <f>IF($A174="","",IF(Builders!$D171="","MISSING","OK"))</f>
        <v/>
      </c>
      <c r="E174" s="31">
        <f>IF($A174="","",IF(Builders!$F171="","MISSING","OK"))</f>
        <v/>
      </c>
      <c r="F174" s="31">
        <f>IF($A174="","",IF(COUNTIFS(Contacts!$A$2:$A$501,$A174,Contacts!$B$2:$B$501,"*Owner*")+COUNTIFS(Contacts!$A$2:$A$501,$A174,Contacts!$F$2:$F$501,"*owner*")=0,"MISSING","OK"))</f>
        <v/>
      </c>
      <c r="G174" s="31">
        <f>IF($A174="","",IF(COUNTIFS(Contacts!$A$2:$A$501,$A174,Contacts!$B$2:$B$501,"*Listing*")+COUNTIFS(Contacts!$A$2:$A$501,$A174,Contacts!$F$2:$F$501,"*listing agent*")=0,"MISSING","OK"))</f>
        <v/>
      </c>
      <c r="H174" s="31">
        <f>IF($A174="","",IF(COUNTIFS(Contacts!$A$2:$A$501,$A174,Contacts!$B$2:$B$501,"*Builder Rep*")+COUNTIFS(Contacts!$A$2:$A$501,$A174,Contacts!$B$2:$B$501,"Sales*")=0,"MISSING","OK"))</f>
        <v/>
      </c>
      <c r="I174" s="31">
        <f>IF($A174="","",IF(COUNTIFS(Contacts!$A$2:$A$501,$A174,Contacts!$B$2:$B$501,"*Docs*")+COUNTIFS(Contacts!$A$2:$A$501,$A174,Contacts!$F$2:$F$501,"*builder doc*")=0,"MISSING","OK"))</f>
        <v/>
      </c>
      <c r="J174" s="31">
        <f>IF($A174="","",IF(COUNTIFS(Contacts!$A$2:$A$501,$A174,Contacts!$B$2:$B$501,"*Appraisal*")+COUNTIFS(Contacts!$A$2:$A$501,$A174,Contacts!$F$2:$F$501,"*apprais*")=0,"MISSING","OK"))</f>
        <v/>
      </c>
      <c r="K174" s="31">
        <f>IF($A174="","",IF(Builders!$B171="","MISSING",IF(COUNTIFS('Title Contacts'!$A$2:$A$601,Builders!$B171,'Title Contacts'!$B$2:$B$601,"*agent*",'Title Contacts'!$C$2:$C$601,"&lt;&gt;")&gt;0,"OK","MISSING")))</f>
        <v/>
      </c>
      <c r="L174" s="31">
        <f>IF($A174="","",IF(Builders!$B171="","MISSING",IF(COUNTIFS('Title Contacts'!$A$2:$A$601,Builders!$B171,'Title Contacts'!$B$2:$B$601,"*assistant*",'Title Contacts'!$C$2:$C$601,"&lt;&gt;")&gt;0,"OK","MISSING")))</f>
        <v/>
      </c>
      <c r="M174" s="31">
        <f>IF($A174="","",COUNTIF(B174:L174,"MISSING"))</f>
        <v/>
      </c>
    </row>
    <row r="175">
      <c r="A175" s="18">
        <f>IF(Builders!$A172="","",Builders!$A172)</f>
        <v/>
      </c>
      <c r="B175" s="31">
        <f>IF($A175="","",IF(Builders!$B172="","MISSING","OK"))</f>
        <v/>
      </c>
      <c r="C175" s="31">
        <f>IF($A175="","",IF(Builders!$C172="","MISSING","OK"))</f>
        <v/>
      </c>
      <c r="D175" s="31">
        <f>IF($A175="","",IF(Builders!$D172="","MISSING","OK"))</f>
        <v/>
      </c>
      <c r="E175" s="31">
        <f>IF($A175="","",IF(Builders!$F172="","MISSING","OK"))</f>
        <v/>
      </c>
      <c r="F175" s="31">
        <f>IF($A175="","",IF(COUNTIFS(Contacts!$A$2:$A$501,$A175,Contacts!$B$2:$B$501,"*Owner*")+COUNTIFS(Contacts!$A$2:$A$501,$A175,Contacts!$F$2:$F$501,"*owner*")=0,"MISSING","OK"))</f>
        <v/>
      </c>
      <c r="G175" s="31">
        <f>IF($A175="","",IF(COUNTIFS(Contacts!$A$2:$A$501,$A175,Contacts!$B$2:$B$501,"*Listing*")+COUNTIFS(Contacts!$A$2:$A$501,$A175,Contacts!$F$2:$F$501,"*listing agent*")=0,"MISSING","OK"))</f>
        <v/>
      </c>
      <c r="H175" s="31">
        <f>IF($A175="","",IF(COUNTIFS(Contacts!$A$2:$A$501,$A175,Contacts!$B$2:$B$501,"*Builder Rep*")+COUNTIFS(Contacts!$A$2:$A$501,$A175,Contacts!$B$2:$B$501,"Sales*")=0,"MISSING","OK"))</f>
        <v/>
      </c>
      <c r="I175" s="31">
        <f>IF($A175="","",IF(COUNTIFS(Contacts!$A$2:$A$501,$A175,Contacts!$B$2:$B$501,"*Docs*")+COUNTIFS(Contacts!$A$2:$A$501,$A175,Contacts!$F$2:$F$501,"*builder doc*")=0,"MISSING","OK"))</f>
        <v/>
      </c>
      <c r="J175" s="31">
        <f>IF($A175="","",IF(COUNTIFS(Contacts!$A$2:$A$501,$A175,Contacts!$B$2:$B$501,"*Appraisal*")+COUNTIFS(Contacts!$A$2:$A$501,$A175,Contacts!$F$2:$F$501,"*apprais*")=0,"MISSING","OK"))</f>
        <v/>
      </c>
      <c r="K175" s="31">
        <f>IF($A175="","",IF(Builders!$B172="","MISSING",IF(COUNTIFS('Title Contacts'!$A$2:$A$601,Builders!$B172,'Title Contacts'!$B$2:$B$601,"*agent*",'Title Contacts'!$C$2:$C$601,"&lt;&gt;")&gt;0,"OK","MISSING")))</f>
        <v/>
      </c>
      <c r="L175" s="31">
        <f>IF($A175="","",IF(Builders!$B172="","MISSING",IF(COUNTIFS('Title Contacts'!$A$2:$A$601,Builders!$B172,'Title Contacts'!$B$2:$B$601,"*assistant*",'Title Contacts'!$C$2:$C$601,"&lt;&gt;")&gt;0,"OK","MISSING")))</f>
        <v/>
      </c>
      <c r="M175" s="31">
        <f>IF($A175="","",COUNTIF(B175:L175,"MISSING"))</f>
        <v/>
      </c>
    </row>
    <row r="176">
      <c r="A176" s="18">
        <f>IF(Builders!$A173="","",Builders!$A173)</f>
        <v/>
      </c>
      <c r="B176" s="31">
        <f>IF($A176="","",IF(Builders!$B173="","MISSING","OK"))</f>
        <v/>
      </c>
      <c r="C176" s="31">
        <f>IF($A176="","",IF(Builders!$C173="","MISSING","OK"))</f>
        <v/>
      </c>
      <c r="D176" s="31">
        <f>IF($A176="","",IF(Builders!$D173="","MISSING","OK"))</f>
        <v/>
      </c>
      <c r="E176" s="31">
        <f>IF($A176="","",IF(Builders!$F173="","MISSING","OK"))</f>
        <v/>
      </c>
      <c r="F176" s="31">
        <f>IF($A176="","",IF(COUNTIFS(Contacts!$A$2:$A$501,$A176,Contacts!$B$2:$B$501,"*Owner*")+COUNTIFS(Contacts!$A$2:$A$501,$A176,Contacts!$F$2:$F$501,"*owner*")=0,"MISSING","OK"))</f>
        <v/>
      </c>
      <c r="G176" s="31">
        <f>IF($A176="","",IF(COUNTIFS(Contacts!$A$2:$A$501,$A176,Contacts!$B$2:$B$501,"*Listing*")+COUNTIFS(Contacts!$A$2:$A$501,$A176,Contacts!$F$2:$F$501,"*listing agent*")=0,"MISSING","OK"))</f>
        <v/>
      </c>
      <c r="H176" s="31">
        <f>IF($A176="","",IF(COUNTIFS(Contacts!$A$2:$A$501,$A176,Contacts!$B$2:$B$501,"*Builder Rep*")+COUNTIFS(Contacts!$A$2:$A$501,$A176,Contacts!$B$2:$B$501,"Sales*")=0,"MISSING","OK"))</f>
        <v/>
      </c>
      <c r="I176" s="31">
        <f>IF($A176="","",IF(COUNTIFS(Contacts!$A$2:$A$501,$A176,Contacts!$B$2:$B$501,"*Docs*")+COUNTIFS(Contacts!$A$2:$A$501,$A176,Contacts!$F$2:$F$501,"*builder doc*")=0,"MISSING","OK"))</f>
        <v/>
      </c>
      <c r="J176" s="31">
        <f>IF($A176="","",IF(COUNTIFS(Contacts!$A$2:$A$501,$A176,Contacts!$B$2:$B$501,"*Appraisal*")+COUNTIFS(Contacts!$A$2:$A$501,$A176,Contacts!$F$2:$F$501,"*apprais*")=0,"MISSING","OK"))</f>
        <v/>
      </c>
      <c r="K176" s="31">
        <f>IF($A176="","",IF(Builders!$B173="","MISSING",IF(COUNTIFS('Title Contacts'!$A$2:$A$601,Builders!$B173,'Title Contacts'!$B$2:$B$601,"*agent*",'Title Contacts'!$C$2:$C$601,"&lt;&gt;")&gt;0,"OK","MISSING")))</f>
        <v/>
      </c>
      <c r="L176" s="31">
        <f>IF($A176="","",IF(Builders!$B173="","MISSING",IF(COUNTIFS('Title Contacts'!$A$2:$A$601,Builders!$B173,'Title Contacts'!$B$2:$B$601,"*assistant*",'Title Contacts'!$C$2:$C$601,"&lt;&gt;")&gt;0,"OK","MISSING")))</f>
        <v/>
      </c>
      <c r="M176" s="31">
        <f>IF($A176="","",COUNTIF(B176:L176,"MISSING"))</f>
        <v/>
      </c>
    </row>
    <row r="177">
      <c r="A177" s="18">
        <f>IF(Builders!$A174="","",Builders!$A174)</f>
        <v/>
      </c>
      <c r="B177" s="31">
        <f>IF($A177="","",IF(Builders!$B174="","MISSING","OK"))</f>
        <v/>
      </c>
      <c r="C177" s="31">
        <f>IF($A177="","",IF(Builders!$C174="","MISSING","OK"))</f>
        <v/>
      </c>
      <c r="D177" s="31">
        <f>IF($A177="","",IF(Builders!$D174="","MISSING","OK"))</f>
        <v/>
      </c>
      <c r="E177" s="31">
        <f>IF($A177="","",IF(Builders!$F174="","MISSING","OK"))</f>
        <v/>
      </c>
      <c r="F177" s="31">
        <f>IF($A177="","",IF(COUNTIFS(Contacts!$A$2:$A$501,$A177,Contacts!$B$2:$B$501,"*Owner*")+COUNTIFS(Contacts!$A$2:$A$501,$A177,Contacts!$F$2:$F$501,"*owner*")=0,"MISSING","OK"))</f>
        <v/>
      </c>
      <c r="G177" s="31">
        <f>IF($A177="","",IF(COUNTIFS(Contacts!$A$2:$A$501,$A177,Contacts!$B$2:$B$501,"*Listing*")+COUNTIFS(Contacts!$A$2:$A$501,$A177,Contacts!$F$2:$F$501,"*listing agent*")=0,"MISSING","OK"))</f>
        <v/>
      </c>
      <c r="H177" s="31">
        <f>IF($A177="","",IF(COUNTIFS(Contacts!$A$2:$A$501,$A177,Contacts!$B$2:$B$501,"*Builder Rep*")+COUNTIFS(Contacts!$A$2:$A$501,$A177,Contacts!$B$2:$B$501,"Sales*")=0,"MISSING","OK"))</f>
        <v/>
      </c>
      <c r="I177" s="31">
        <f>IF($A177="","",IF(COUNTIFS(Contacts!$A$2:$A$501,$A177,Contacts!$B$2:$B$501,"*Docs*")+COUNTIFS(Contacts!$A$2:$A$501,$A177,Contacts!$F$2:$F$501,"*builder doc*")=0,"MISSING","OK"))</f>
        <v/>
      </c>
      <c r="J177" s="31">
        <f>IF($A177="","",IF(COUNTIFS(Contacts!$A$2:$A$501,$A177,Contacts!$B$2:$B$501,"*Appraisal*")+COUNTIFS(Contacts!$A$2:$A$501,$A177,Contacts!$F$2:$F$501,"*apprais*")=0,"MISSING","OK"))</f>
        <v/>
      </c>
      <c r="K177" s="31">
        <f>IF($A177="","",IF(Builders!$B174="","MISSING",IF(COUNTIFS('Title Contacts'!$A$2:$A$601,Builders!$B174,'Title Contacts'!$B$2:$B$601,"*agent*",'Title Contacts'!$C$2:$C$601,"&lt;&gt;")&gt;0,"OK","MISSING")))</f>
        <v/>
      </c>
      <c r="L177" s="31">
        <f>IF($A177="","",IF(Builders!$B174="","MISSING",IF(COUNTIFS('Title Contacts'!$A$2:$A$601,Builders!$B174,'Title Contacts'!$B$2:$B$601,"*assistant*",'Title Contacts'!$C$2:$C$601,"&lt;&gt;")&gt;0,"OK","MISSING")))</f>
        <v/>
      </c>
      <c r="M177" s="31">
        <f>IF($A177="","",COUNTIF(B177:L177,"MISSING"))</f>
        <v/>
      </c>
    </row>
    <row r="178">
      <c r="A178" s="18">
        <f>IF(Builders!$A175="","",Builders!$A175)</f>
        <v/>
      </c>
      <c r="B178" s="31">
        <f>IF($A178="","",IF(Builders!$B175="","MISSING","OK"))</f>
        <v/>
      </c>
      <c r="C178" s="31">
        <f>IF($A178="","",IF(Builders!$C175="","MISSING","OK"))</f>
        <v/>
      </c>
      <c r="D178" s="31">
        <f>IF($A178="","",IF(Builders!$D175="","MISSING","OK"))</f>
        <v/>
      </c>
      <c r="E178" s="31">
        <f>IF($A178="","",IF(Builders!$F175="","MISSING","OK"))</f>
        <v/>
      </c>
      <c r="F178" s="31">
        <f>IF($A178="","",IF(COUNTIFS(Contacts!$A$2:$A$501,$A178,Contacts!$B$2:$B$501,"*Owner*")+COUNTIFS(Contacts!$A$2:$A$501,$A178,Contacts!$F$2:$F$501,"*owner*")=0,"MISSING","OK"))</f>
        <v/>
      </c>
      <c r="G178" s="31">
        <f>IF($A178="","",IF(COUNTIFS(Contacts!$A$2:$A$501,$A178,Contacts!$B$2:$B$501,"*Listing*")+COUNTIFS(Contacts!$A$2:$A$501,$A178,Contacts!$F$2:$F$501,"*listing agent*")=0,"MISSING","OK"))</f>
        <v/>
      </c>
      <c r="H178" s="31">
        <f>IF($A178="","",IF(COUNTIFS(Contacts!$A$2:$A$501,$A178,Contacts!$B$2:$B$501,"*Builder Rep*")+COUNTIFS(Contacts!$A$2:$A$501,$A178,Contacts!$B$2:$B$501,"Sales*")=0,"MISSING","OK"))</f>
        <v/>
      </c>
      <c r="I178" s="31">
        <f>IF($A178="","",IF(COUNTIFS(Contacts!$A$2:$A$501,$A178,Contacts!$B$2:$B$501,"*Docs*")+COUNTIFS(Contacts!$A$2:$A$501,$A178,Contacts!$F$2:$F$501,"*builder doc*")=0,"MISSING","OK"))</f>
        <v/>
      </c>
      <c r="J178" s="31">
        <f>IF($A178="","",IF(COUNTIFS(Contacts!$A$2:$A$501,$A178,Contacts!$B$2:$B$501,"*Appraisal*")+COUNTIFS(Contacts!$A$2:$A$501,$A178,Contacts!$F$2:$F$501,"*apprais*")=0,"MISSING","OK"))</f>
        <v/>
      </c>
      <c r="K178" s="31">
        <f>IF($A178="","",IF(Builders!$B175="","MISSING",IF(COUNTIFS('Title Contacts'!$A$2:$A$601,Builders!$B175,'Title Contacts'!$B$2:$B$601,"*agent*",'Title Contacts'!$C$2:$C$601,"&lt;&gt;")&gt;0,"OK","MISSING")))</f>
        <v/>
      </c>
      <c r="L178" s="31">
        <f>IF($A178="","",IF(Builders!$B175="","MISSING",IF(COUNTIFS('Title Contacts'!$A$2:$A$601,Builders!$B175,'Title Contacts'!$B$2:$B$601,"*assistant*",'Title Contacts'!$C$2:$C$601,"&lt;&gt;")&gt;0,"OK","MISSING")))</f>
        <v/>
      </c>
      <c r="M178" s="31">
        <f>IF($A178="","",COUNTIF(B178:L178,"MISSING"))</f>
        <v/>
      </c>
    </row>
    <row r="179">
      <c r="A179" s="18">
        <f>IF(Builders!$A176="","",Builders!$A176)</f>
        <v/>
      </c>
      <c r="B179" s="31">
        <f>IF($A179="","",IF(Builders!$B176="","MISSING","OK"))</f>
        <v/>
      </c>
      <c r="C179" s="31">
        <f>IF($A179="","",IF(Builders!$C176="","MISSING","OK"))</f>
        <v/>
      </c>
      <c r="D179" s="31">
        <f>IF($A179="","",IF(Builders!$D176="","MISSING","OK"))</f>
        <v/>
      </c>
      <c r="E179" s="31">
        <f>IF($A179="","",IF(Builders!$F176="","MISSING","OK"))</f>
        <v/>
      </c>
      <c r="F179" s="31">
        <f>IF($A179="","",IF(COUNTIFS(Contacts!$A$2:$A$501,$A179,Contacts!$B$2:$B$501,"*Owner*")+COUNTIFS(Contacts!$A$2:$A$501,$A179,Contacts!$F$2:$F$501,"*owner*")=0,"MISSING","OK"))</f>
        <v/>
      </c>
      <c r="G179" s="31">
        <f>IF($A179="","",IF(COUNTIFS(Contacts!$A$2:$A$501,$A179,Contacts!$B$2:$B$501,"*Listing*")+COUNTIFS(Contacts!$A$2:$A$501,$A179,Contacts!$F$2:$F$501,"*listing agent*")=0,"MISSING","OK"))</f>
        <v/>
      </c>
      <c r="H179" s="31">
        <f>IF($A179="","",IF(COUNTIFS(Contacts!$A$2:$A$501,$A179,Contacts!$B$2:$B$501,"*Builder Rep*")+COUNTIFS(Contacts!$A$2:$A$501,$A179,Contacts!$B$2:$B$501,"Sales*")=0,"MISSING","OK"))</f>
        <v/>
      </c>
      <c r="I179" s="31">
        <f>IF($A179="","",IF(COUNTIFS(Contacts!$A$2:$A$501,$A179,Contacts!$B$2:$B$501,"*Docs*")+COUNTIFS(Contacts!$A$2:$A$501,$A179,Contacts!$F$2:$F$501,"*builder doc*")=0,"MISSING","OK"))</f>
        <v/>
      </c>
      <c r="J179" s="31">
        <f>IF($A179="","",IF(COUNTIFS(Contacts!$A$2:$A$501,$A179,Contacts!$B$2:$B$501,"*Appraisal*")+COUNTIFS(Contacts!$A$2:$A$501,$A179,Contacts!$F$2:$F$501,"*apprais*")=0,"MISSING","OK"))</f>
        <v/>
      </c>
      <c r="K179" s="31">
        <f>IF($A179="","",IF(Builders!$B176="","MISSING",IF(COUNTIFS('Title Contacts'!$A$2:$A$601,Builders!$B176,'Title Contacts'!$B$2:$B$601,"*agent*",'Title Contacts'!$C$2:$C$601,"&lt;&gt;")&gt;0,"OK","MISSING")))</f>
        <v/>
      </c>
      <c r="L179" s="31">
        <f>IF($A179="","",IF(Builders!$B176="","MISSING",IF(COUNTIFS('Title Contacts'!$A$2:$A$601,Builders!$B176,'Title Contacts'!$B$2:$B$601,"*assistant*",'Title Contacts'!$C$2:$C$601,"&lt;&gt;")&gt;0,"OK","MISSING")))</f>
        <v/>
      </c>
      <c r="M179" s="31">
        <f>IF($A179="","",COUNTIF(B179:L179,"MISSING"))</f>
        <v/>
      </c>
    </row>
    <row r="180">
      <c r="A180" s="18">
        <f>IF(Builders!$A177="","",Builders!$A177)</f>
        <v/>
      </c>
      <c r="B180" s="31">
        <f>IF($A180="","",IF(Builders!$B177="","MISSING","OK"))</f>
        <v/>
      </c>
      <c r="C180" s="31">
        <f>IF($A180="","",IF(Builders!$C177="","MISSING","OK"))</f>
        <v/>
      </c>
      <c r="D180" s="31">
        <f>IF($A180="","",IF(Builders!$D177="","MISSING","OK"))</f>
        <v/>
      </c>
      <c r="E180" s="31">
        <f>IF($A180="","",IF(Builders!$F177="","MISSING","OK"))</f>
        <v/>
      </c>
      <c r="F180" s="31">
        <f>IF($A180="","",IF(COUNTIFS(Contacts!$A$2:$A$501,$A180,Contacts!$B$2:$B$501,"*Owner*")+COUNTIFS(Contacts!$A$2:$A$501,$A180,Contacts!$F$2:$F$501,"*owner*")=0,"MISSING","OK"))</f>
        <v/>
      </c>
      <c r="G180" s="31">
        <f>IF($A180="","",IF(COUNTIFS(Contacts!$A$2:$A$501,$A180,Contacts!$B$2:$B$501,"*Listing*")+COUNTIFS(Contacts!$A$2:$A$501,$A180,Contacts!$F$2:$F$501,"*listing agent*")=0,"MISSING","OK"))</f>
        <v/>
      </c>
      <c r="H180" s="31">
        <f>IF($A180="","",IF(COUNTIFS(Contacts!$A$2:$A$501,$A180,Contacts!$B$2:$B$501,"*Builder Rep*")+COUNTIFS(Contacts!$A$2:$A$501,$A180,Contacts!$B$2:$B$501,"Sales*")=0,"MISSING","OK"))</f>
        <v/>
      </c>
      <c r="I180" s="31">
        <f>IF($A180="","",IF(COUNTIFS(Contacts!$A$2:$A$501,$A180,Contacts!$B$2:$B$501,"*Docs*")+COUNTIFS(Contacts!$A$2:$A$501,$A180,Contacts!$F$2:$F$501,"*builder doc*")=0,"MISSING","OK"))</f>
        <v/>
      </c>
      <c r="J180" s="31">
        <f>IF($A180="","",IF(COUNTIFS(Contacts!$A$2:$A$501,$A180,Contacts!$B$2:$B$501,"*Appraisal*")+COUNTIFS(Contacts!$A$2:$A$501,$A180,Contacts!$F$2:$F$501,"*apprais*")=0,"MISSING","OK"))</f>
        <v/>
      </c>
      <c r="K180" s="31">
        <f>IF($A180="","",IF(Builders!$B177="","MISSING",IF(COUNTIFS('Title Contacts'!$A$2:$A$601,Builders!$B177,'Title Contacts'!$B$2:$B$601,"*agent*",'Title Contacts'!$C$2:$C$601,"&lt;&gt;")&gt;0,"OK","MISSING")))</f>
        <v/>
      </c>
      <c r="L180" s="31">
        <f>IF($A180="","",IF(Builders!$B177="","MISSING",IF(COUNTIFS('Title Contacts'!$A$2:$A$601,Builders!$B177,'Title Contacts'!$B$2:$B$601,"*assistant*",'Title Contacts'!$C$2:$C$601,"&lt;&gt;")&gt;0,"OK","MISSING")))</f>
        <v/>
      </c>
      <c r="M180" s="31">
        <f>IF($A180="","",COUNTIF(B180:L180,"MISSING"))</f>
        <v/>
      </c>
    </row>
    <row r="181">
      <c r="A181" s="18">
        <f>IF(Builders!$A178="","",Builders!$A178)</f>
        <v/>
      </c>
      <c r="B181" s="31">
        <f>IF($A181="","",IF(Builders!$B178="","MISSING","OK"))</f>
        <v/>
      </c>
      <c r="C181" s="31">
        <f>IF($A181="","",IF(Builders!$C178="","MISSING","OK"))</f>
        <v/>
      </c>
      <c r="D181" s="31">
        <f>IF($A181="","",IF(Builders!$D178="","MISSING","OK"))</f>
        <v/>
      </c>
      <c r="E181" s="31">
        <f>IF($A181="","",IF(Builders!$F178="","MISSING","OK"))</f>
        <v/>
      </c>
      <c r="F181" s="31">
        <f>IF($A181="","",IF(COUNTIFS(Contacts!$A$2:$A$501,$A181,Contacts!$B$2:$B$501,"*Owner*")+COUNTIFS(Contacts!$A$2:$A$501,$A181,Contacts!$F$2:$F$501,"*owner*")=0,"MISSING","OK"))</f>
        <v/>
      </c>
      <c r="G181" s="31">
        <f>IF($A181="","",IF(COUNTIFS(Contacts!$A$2:$A$501,$A181,Contacts!$B$2:$B$501,"*Listing*")+COUNTIFS(Contacts!$A$2:$A$501,$A181,Contacts!$F$2:$F$501,"*listing agent*")=0,"MISSING","OK"))</f>
        <v/>
      </c>
      <c r="H181" s="31">
        <f>IF($A181="","",IF(COUNTIFS(Contacts!$A$2:$A$501,$A181,Contacts!$B$2:$B$501,"*Builder Rep*")+COUNTIFS(Contacts!$A$2:$A$501,$A181,Contacts!$B$2:$B$501,"Sales*")=0,"MISSING","OK"))</f>
        <v/>
      </c>
      <c r="I181" s="31">
        <f>IF($A181="","",IF(COUNTIFS(Contacts!$A$2:$A$501,$A181,Contacts!$B$2:$B$501,"*Docs*")+COUNTIFS(Contacts!$A$2:$A$501,$A181,Contacts!$F$2:$F$501,"*builder doc*")=0,"MISSING","OK"))</f>
        <v/>
      </c>
      <c r="J181" s="31">
        <f>IF($A181="","",IF(COUNTIFS(Contacts!$A$2:$A$501,$A181,Contacts!$B$2:$B$501,"*Appraisal*")+COUNTIFS(Contacts!$A$2:$A$501,$A181,Contacts!$F$2:$F$501,"*apprais*")=0,"MISSING","OK"))</f>
        <v/>
      </c>
      <c r="K181" s="31">
        <f>IF($A181="","",IF(Builders!$B178="","MISSING",IF(COUNTIFS('Title Contacts'!$A$2:$A$601,Builders!$B178,'Title Contacts'!$B$2:$B$601,"*agent*",'Title Contacts'!$C$2:$C$601,"&lt;&gt;")&gt;0,"OK","MISSING")))</f>
        <v/>
      </c>
      <c r="L181" s="31">
        <f>IF($A181="","",IF(Builders!$B178="","MISSING",IF(COUNTIFS('Title Contacts'!$A$2:$A$601,Builders!$B178,'Title Contacts'!$B$2:$B$601,"*assistant*",'Title Contacts'!$C$2:$C$601,"&lt;&gt;")&gt;0,"OK","MISSING")))</f>
        <v/>
      </c>
      <c r="M181" s="31">
        <f>IF($A181="","",COUNTIF(B181:L181,"MISSING"))</f>
        <v/>
      </c>
    </row>
    <row r="182">
      <c r="A182" s="18">
        <f>IF(Builders!$A179="","",Builders!$A179)</f>
        <v/>
      </c>
      <c r="B182" s="31">
        <f>IF($A182="","",IF(Builders!$B179="","MISSING","OK"))</f>
        <v/>
      </c>
      <c r="C182" s="31">
        <f>IF($A182="","",IF(Builders!$C179="","MISSING","OK"))</f>
        <v/>
      </c>
      <c r="D182" s="31">
        <f>IF($A182="","",IF(Builders!$D179="","MISSING","OK"))</f>
        <v/>
      </c>
      <c r="E182" s="31">
        <f>IF($A182="","",IF(Builders!$F179="","MISSING","OK"))</f>
        <v/>
      </c>
      <c r="F182" s="31">
        <f>IF($A182="","",IF(COUNTIFS(Contacts!$A$2:$A$501,$A182,Contacts!$B$2:$B$501,"*Owner*")+COUNTIFS(Contacts!$A$2:$A$501,$A182,Contacts!$F$2:$F$501,"*owner*")=0,"MISSING","OK"))</f>
        <v/>
      </c>
      <c r="G182" s="31">
        <f>IF($A182="","",IF(COUNTIFS(Contacts!$A$2:$A$501,$A182,Contacts!$B$2:$B$501,"*Listing*")+COUNTIFS(Contacts!$A$2:$A$501,$A182,Contacts!$F$2:$F$501,"*listing agent*")=0,"MISSING","OK"))</f>
        <v/>
      </c>
      <c r="H182" s="31">
        <f>IF($A182="","",IF(COUNTIFS(Contacts!$A$2:$A$501,$A182,Contacts!$B$2:$B$501,"*Builder Rep*")+COUNTIFS(Contacts!$A$2:$A$501,$A182,Contacts!$B$2:$B$501,"Sales*")=0,"MISSING","OK"))</f>
        <v/>
      </c>
      <c r="I182" s="31">
        <f>IF($A182="","",IF(COUNTIFS(Contacts!$A$2:$A$501,$A182,Contacts!$B$2:$B$501,"*Docs*")+COUNTIFS(Contacts!$A$2:$A$501,$A182,Contacts!$F$2:$F$501,"*builder doc*")=0,"MISSING","OK"))</f>
        <v/>
      </c>
      <c r="J182" s="31">
        <f>IF($A182="","",IF(COUNTIFS(Contacts!$A$2:$A$501,$A182,Contacts!$B$2:$B$501,"*Appraisal*")+COUNTIFS(Contacts!$A$2:$A$501,$A182,Contacts!$F$2:$F$501,"*apprais*")=0,"MISSING","OK"))</f>
        <v/>
      </c>
      <c r="K182" s="31">
        <f>IF($A182="","",IF(Builders!$B179="","MISSING",IF(COUNTIFS('Title Contacts'!$A$2:$A$601,Builders!$B179,'Title Contacts'!$B$2:$B$601,"*agent*",'Title Contacts'!$C$2:$C$601,"&lt;&gt;")&gt;0,"OK","MISSING")))</f>
        <v/>
      </c>
      <c r="L182" s="31">
        <f>IF($A182="","",IF(Builders!$B179="","MISSING",IF(COUNTIFS('Title Contacts'!$A$2:$A$601,Builders!$B179,'Title Contacts'!$B$2:$B$601,"*assistant*",'Title Contacts'!$C$2:$C$601,"&lt;&gt;")&gt;0,"OK","MISSING")))</f>
        <v/>
      </c>
      <c r="M182" s="31">
        <f>IF($A182="","",COUNTIF(B182:L182,"MISSING"))</f>
        <v/>
      </c>
    </row>
    <row r="183">
      <c r="A183" s="18">
        <f>IF(Builders!$A180="","",Builders!$A180)</f>
        <v/>
      </c>
      <c r="B183" s="31">
        <f>IF($A183="","",IF(Builders!$B180="","MISSING","OK"))</f>
        <v/>
      </c>
      <c r="C183" s="31">
        <f>IF($A183="","",IF(Builders!$C180="","MISSING","OK"))</f>
        <v/>
      </c>
      <c r="D183" s="31">
        <f>IF($A183="","",IF(Builders!$D180="","MISSING","OK"))</f>
        <v/>
      </c>
      <c r="E183" s="31">
        <f>IF($A183="","",IF(Builders!$F180="","MISSING","OK"))</f>
        <v/>
      </c>
      <c r="F183" s="31">
        <f>IF($A183="","",IF(COUNTIFS(Contacts!$A$2:$A$501,$A183,Contacts!$B$2:$B$501,"*Owner*")+COUNTIFS(Contacts!$A$2:$A$501,$A183,Contacts!$F$2:$F$501,"*owner*")=0,"MISSING","OK"))</f>
        <v/>
      </c>
      <c r="G183" s="31">
        <f>IF($A183="","",IF(COUNTIFS(Contacts!$A$2:$A$501,$A183,Contacts!$B$2:$B$501,"*Listing*")+COUNTIFS(Contacts!$A$2:$A$501,$A183,Contacts!$F$2:$F$501,"*listing agent*")=0,"MISSING","OK"))</f>
        <v/>
      </c>
      <c r="H183" s="31">
        <f>IF($A183="","",IF(COUNTIFS(Contacts!$A$2:$A$501,$A183,Contacts!$B$2:$B$501,"*Builder Rep*")+COUNTIFS(Contacts!$A$2:$A$501,$A183,Contacts!$B$2:$B$501,"Sales*")=0,"MISSING","OK"))</f>
        <v/>
      </c>
      <c r="I183" s="31">
        <f>IF($A183="","",IF(COUNTIFS(Contacts!$A$2:$A$501,$A183,Contacts!$B$2:$B$501,"*Docs*")+COUNTIFS(Contacts!$A$2:$A$501,$A183,Contacts!$F$2:$F$501,"*builder doc*")=0,"MISSING","OK"))</f>
        <v/>
      </c>
      <c r="J183" s="31">
        <f>IF($A183="","",IF(COUNTIFS(Contacts!$A$2:$A$501,$A183,Contacts!$B$2:$B$501,"*Appraisal*")+COUNTIFS(Contacts!$A$2:$A$501,$A183,Contacts!$F$2:$F$501,"*apprais*")=0,"MISSING","OK"))</f>
        <v/>
      </c>
      <c r="K183" s="31">
        <f>IF($A183="","",IF(Builders!$B180="","MISSING",IF(COUNTIFS('Title Contacts'!$A$2:$A$601,Builders!$B180,'Title Contacts'!$B$2:$B$601,"*agent*",'Title Contacts'!$C$2:$C$601,"&lt;&gt;")&gt;0,"OK","MISSING")))</f>
        <v/>
      </c>
      <c r="L183" s="31">
        <f>IF($A183="","",IF(Builders!$B180="","MISSING",IF(COUNTIFS('Title Contacts'!$A$2:$A$601,Builders!$B180,'Title Contacts'!$B$2:$B$601,"*assistant*",'Title Contacts'!$C$2:$C$601,"&lt;&gt;")&gt;0,"OK","MISSING")))</f>
        <v/>
      </c>
      <c r="M183" s="31">
        <f>IF($A183="","",COUNTIF(B183:L183,"MISSING"))</f>
        <v/>
      </c>
    </row>
    <row r="184">
      <c r="A184" s="18">
        <f>IF(Builders!$A181="","",Builders!$A181)</f>
        <v/>
      </c>
      <c r="B184" s="31">
        <f>IF($A184="","",IF(Builders!$B181="","MISSING","OK"))</f>
        <v/>
      </c>
      <c r="C184" s="31">
        <f>IF($A184="","",IF(Builders!$C181="","MISSING","OK"))</f>
        <v/>
      </c>
      <c r="D184" s="31">
        <f>IF($A184="","",IF(Builders!$D181="","MISSING","OK"))</f>
        <v/>
      </c>
      <c r="E184" s="31">
        <f>IF($A184="","",IF(Builders!$F181="","MISSING","OK"))</f>
        <v/>
      </c>
      <c r="F184" s="31">
        <f>IF($A184="","",IF(COUNTIFS(Contacts!$A$2:$A$501,$A184,Contacts!$B$2:$B$501,"*Owner*")+COUNTIFS(Contacts!$A$2:$A$501,$A184,Contacts!$F$2:$F$501,"*owner*")=0,"MISSING","OK"))</f>
        <v/>
      </c>
      <c r="G184" s="31">
        <f>IF($A184="","",IF(COUNTIFS(Contacts!$A$2:$A$501,$A184,Contacts!$B$2:$B$501,"*Listing*")+COUNTIFS(Contacts!$A$2:$A$501,$A184,Contacts!$F$2:$F$501,"*listing agent*")=0,"MISSING","OK"))</f>
        <v/>
      </c>
      <c r="H184" s="31">
        <f>IF($A184="","",IF(COUNTIFS(Contacts!$A$2:$A$501,$A184,Contacts!$B$2:$B$501,"*Builder Rep*")+COUNTIFS(Contacts!$A$2:$A$501,$A184,Contacts!$B$2:$B$501,"Sales*")=0,"MISSING","OK"))</f>
        <v/>
      </c>
      <c r="I184" s="31">
        <f>IF($A184="","",IF(COUNTIFS(Contacts!$A$2:$A$501,$A184,Contacts!$B$2:$B$501,"*Docs*")+COUNTIFS(Contacts!$A$2:$A$501,$A184,Contacts!$F$2:$F$501,"*builder doc*")=0,"MISSING","OK"))</f>
        <v/>
      </c>
      <c r="J184" s="31">
        <f>IF($A184="","",IF(COUNTIFS(Contacts!$A$2:$A$501,$A184,Contacts!$B$2:$B$501,"*Appraisal*")+COUNTIFS(Contacts!$A$2:$A$501,$A184,Contacts!$F$2:$F$501,"*apprais*")=0,"MISSING","OK"))</f>
        <v/>
      </c>
      <c r="K184" s="31">
        <f>IF($A184="","",IF(Builders!$B181="","MISSING",IF(COUNTIFS('Title Contacts'!$A$2:$A$601,Builders!$B181,'Title Contacts'!$B$2:$B$601,"*agent*",'Title Contacts'!$C$2:$C$601,"&lt;&gt;")&gt;0,"OK","MISSING")))</f>
        <v/>
      </c>
      <c r="L184" s="31">
        <f>IF($A184="","",IF(Builders!$B181="","MISSING",IF(COUNTIFS('Title Contacts'!$A$2:$A$601,Builders!$B181,'Title Contacts'!$B$2:$B$601,"*assistant*",'Title Contacts'!$C$2:$C$601,"&lt;&gt;")&gt;0,"OK","MISSING")))</f>
        <v/>
      </c>
      <c r="M184" s="31">
        <f>IF($A184="","",COUNTIF(B184:L184,"MISSING"))</f>
        <v/>
      </c>
    </row>
    <row r="185">
      <c r="A185" s="18">
        <f>IF(Builders!$A182="","",Builders!$A182)</f>
        <v/>
      </c>
      <c r="B185" s="31">
        <f>IF($A185="","",IF(Builders!$B182="","MISSING","OK"))</f>
        <v/>
      </c>
      <c r="C185" s="31">
        <f>IF($A185="","",IF(Builders!$C182="","MISSING","OK"))</f>
        <v/>
      </c>
      <c r="D185" s="31">
        <f>IF($A185="","",IF(Builders!$D182="","MISSING","OK"))</f>
        <v/>
      </c>
      <c r="E185" s="31">
        <f>IF($A185="","",IF(Builders!$F182="","MISSING","OK"))</f>
        <v/>
      </c>
      <c r="F185" s="31">
        <f>IF($A185="","",IF(COUNTIFS(Contacts!$A$2:$A$501,$A185,Contacts!$B$2:$B$501,"*Owner*")+COUNTIFS(Contacts!$A$2:$A$501,$A185,Contacts!$F$2:$F$501,"*owner*")=0,"MISSING","OK"))</f>
        <v/>
      </c>
      <c r="G185" s="31">
        <f>IF($A185="","",IF(COUNTIFS(Contacts!$A$2:$A$501,$A185,Contacts!$B$2:$B$501,"*Listing*")+COUNTIFS(Contacts!$A$2:$A$501,$A185,Contacts!$F$2:$F$501,"*listing agent*")=0,"MISSING","OK"))</f>
        <v/>
      </c>
      <c r="H185" s="31">
        <f>IF($A185="","",IF(COUNTIFS(Contacts!$A$2:$A$501,$A185,Contacts!$B$2:$B$501,"*Builder Rep*")+COUNTIFS(Contacts!$A$2:$A$501,$A185,Contacts!$B$2:$B$501,"Sales*")=0,"MISSING","OK"))</f>
        <v/>
      </c>
      <c r="I185" s="31">
        <f>IF($A185="","",IF(COUNTIFS(Contacts!$A$2:$A$501,$A185,Contacts!$B$2:$B$501,"*Docs*")+COUNTIFS(Contacts!$A$2:$A$501,$A185,Contacts!$F$2:$F$501,"*builder doc*")=0,"MISSING","OK"))</f>
        <v/>
      </c>
      <c r="J185" s="31">
        <f>IF($A185="","",IF(COUNTIFS(Contacts!$A$2:$A$501,$A185,Contacts!$B$2:$B$501,"*Appraisal*")+COUNTIFS(Contacts!$A$2:$A$501,$A185,Contacts!$F$2:$F$501,"*apprais*")=0,"MISSING","OK"))</f>
        <v/>
      </c>
      <c r="K185" s="31">
        <f>IF($A185="","",IF(Builders!$B182="","MISSING",IF(COUNTIFS('Title Contacts'!$A$2:$A$601,Builders!$B182,'Title Contacts'!$B$2:$B$601,"*agent*",'Title Contacts'!$C$2:$C$601,"&lt;&gt;")&gt;0,"OK","MISSING")))</f>
        <v/>
      </c>
      <c r="L185" s="31">
        <f>IF($A185="","",IF(Builders!$B182="","MISSING",IF(COUNTIFS('Title Contacts'!$A$2:$A$601,Builders!$B182,'Title Contacts'!$B$2:$B$601,"*assistant*",'Title Contacts'!$C$2:$C$601,"&lt;&gt;")&gt;0,"OK","MISSING")))</f>
        <v/>
      </c>
      <c r="M185" s="31">
        <f>IF($A185="","",COUNTIF(B185:L185,"MISSING"))</f>
        <v/>
      </c>
    </row>
    <row r="186">
      <c r="A186" s="18">
        <f>IF(Builders!$A183="","",Builders!$A183)</f>
        <v/>
      </c>
      <c r="B186" s="31">
        <f>IF($A186="","",IF(Builders!$B183="","MISSING","OK"))</f>
        <v/>
      </c>
      <c r="C186" s="31">
        <f>IF($A186="","",IF(Builders!$C183="","MISSING","OK"))</f>
        <v/>
      </c>
      <c r="D186" s="31">
        <f>IF($A186="","",IF(Builders!$D183="","MISSING","OK"))</f>
        <v/>
      </c>
      <c r="E186" s="31">
        <f>IF($A186="","",IF(Builders!$F183="","MISSING","OK"))</f>
        <v/>
      </c>
      <c r="F186" s="31">
        <f>IF($A186="","",IF(COUNTIFS(Contacts!$A$2:$A$501,$A186,Contacts!$B$2:$B$501,"*Owner*")+COUNTIFS(Contacts!$A$2:$A$501,$A186,Contacts!$F$2:$F$501,"*owner*")=0,"MISSING","OK"))</f>
        <v/>
      </c>
      <c r="G186" s="31">
        <f>IF($A186="","",IF(COUNTIFS(Contacts!$A$2:$A$501,$A186,Contacts!$B$2:$B$501,"*Listing*")+COUNTIFS(Contacts!$A$2:$A$501,$A186,Contacts!$F$2:$F$501,"*listing agent*")=0,"MISSING","OK"))</f>
        <v/>
      </c>
      <c r="H186" s="31">
        <f>IF($A186="","",IF(COUNTIFS(Contacts!$A$2:$A$501,$A186,Contacts!$B$2:$B$501,"*Builder Rep*")+COUNTIFS(Contacts!$A$2:$A$501,$A186,Contacts!$B$2:$B$501,"Sales*")=0,"MISSING","OK"))</f>
        <v/>
      </c>
      <c r="I186" s="31">
        <f>IF($A186="","",IF(COUNTIFS(Contacts!$A$2:$A$501,$A186,Contacts!$B$2:$B$501,"*Docs*")+COUNTIFS(Contacts!$A$2:$A$501,$A186,Contacts!$F$2:$F$501,"*builder doc*")=0,"MISSING","OK"))</f>
        <v/>
      </c>
      <c r="J186" s="31">
        <f>IF($A186="","",IF(COUNTIFS(Contacts!$A$2:$A$501,$A186,Contacts!$B$2:$B$501,"*Appraisal*")+COUNTIFS(Contacts!$A$2:$A$501,$A186,Contacts!$F$2:$F$501,"*apprais*")=0,"MISSING","OK"))</f>
        <v/>
      </c>
      <c r="K186" s="31">
        <f>IF($A186="","",IF(Builders!$B183="","MISSING",IF(COUNTIFS('Title Contacts'!$A$2:$A$601,Builders!$B183,'Title Contacts'!$B$2:$B$601,"*agent*",'Title Contacts'!$C$2:$C$601,"&lt;&gt;")&gt;0,"OK","MISSING")))</f>
        <v/>
      </c>
      <c r="L186" s="31">
        <f>IF($A186="","",IF(Builders!$B183="","MISSING",IF(COUNTIFS('Title Contacts'!$A$2:$A$601,Builders!$B183,'Title Contacts'!$B$2:$B$601,"*assistant*",'Title Contacts'!$C$2:$C$601,"&lt;&gt;")&gt;0,"OK","MISSING")))</f>
        <v/>
      </c>
      <c r="M186" s="31">
        <f>IF($A186="","",COUNTIF(B186:L186,"MISSING"))</f>
        <v/>
      </c>
    </row>
    <row r="187">
      <c r="A187" s="18">
        <f>IF(Builders!$A184="","",Builders!$A184)</f>
        <v/>
      </c>
      <c r="B187" s="31">
        <f>IF($A187="","",IF(Builders!$B184="","MISSING","OK"))</f>
        <v/>
      </c>
      <c r="C187" s="31">
        <f>IF($A187="","",IF(Builders!$C184="","MISSING","OK"))</f>
        <v/>
      </c>
      <c r="D187" s="31">
        <f>IF($A187="","",IF(Builders!$D184="","MISSING","OK"))</f>
        <v/>
      </c>
      <c r="E187" s="31">
        <f>IF($A187="","",IF(Builders!$F184="","MISSING","OK"))</f>
        <v/>
      </c>
      <c r="F187" s="31">
        <f>IF($A187="","",IF(COUNTIFS(Contacts!$A$2:$A$501,$A187,Contacts!$B$2:$B$501,"*Owner*")+COUNTIFS(Contacts!$A$2:$A$501,$A187,Contacts!$F$2:$F$501,"*owner*")=0,"MISSING","OK"))</f>
        <v/>
      </c>
      <c r="G187" s="31">
        <f>IF($A187="","",IF(COUNTIFS(Contacts!$A$2:$A$501,$A187,Contacts!$B$2:$B$501,"*Listing*")+COUNTIFS(Contacts!$A$2:$A$501,$A187,Contacts!$F$2:$F$501,"*listing agent*")=0,"MISSING","OK"))</f>
        <v/>
      </c>
      <c r="H187" s="31">
        <f>IF($A187="","",IF(COUNTIFS(Contacts!$A$2:$A$501,$A187,Contacts!$B$2:$B$501,"*Builder Rep*")+COUNTIFS(Contacts!$A$2:$A$501,$A187,Contacts!$B$2:$B$501,"Sales*")=0,"MISSING","OK"))</f>
        <v/>
      </c>
      <c r="I187" s="31">
        <f>IF($A187="","",IF(COUNTIFS(Contacts!$A$2:$A$501,$A187,Contacts!$B$2:$B$501,"*Docs*")+COUNTIFS(Contacts!$A$2:$A$501,$A187,Contacts!$F$2:$F$501,"*builder doc*")=0,"MISSING","OK"))</f>
        <v/>
      </c>
      <c r="J187" s="31">
        <f>IF($A187="","",IF(COUNTIFS(Contacts!$A$2:$A$501,$A187,Contacts!$B$2:$B$501,"*Appraisal*")+COUNTIFS(Contacts!$A$2:$A$501,$A187,Contacts!$F$2:$F$501,"*apprais*")=0,"MISSING","OK"))</f>
        <v/>
      </c>
      <c r="K187" s="31">
        <f>IF($A187="","",IF(Builders!$B184="","MISSING",IF(COUNTIFS('Title Contacts'!$A$2:$A$601,Builders!$B184,'Title Contacts'!$B$2:$B$601,"*agent*",'Title Contacts'!$C$2:$C$601,"&lt;&gt;")&gt;0,"OK","MISSING")))</f>
        <v/>
      </c>
      <c r="L187" s="31">
        <f>IF($A187="","",IF(Builders!$B184="","MISSING",IF(COUNTIFS('Title Contacts'!$A$2:$A$601,Builders!$B184,'Title Contacts'!$B$2:$B$601,"*assistant*",'Title Contacts'!$C$2:$C$601,"&lt;&gt;")&gt;0,"OK","MISSING")))</f>
        <v/>
      </c>
      <c r="M187" s="31">
        <f>IF($A187="","",COUNTIF(B187:L187,"MISSING"))</f>
        <v/>
      </c>
    </row>
    <row r="188">
      <c r="A188" s="18">
        <f>IF(Builders!$A185="","",Builders!$A185)</f>
        <v/>
      </c>
      <c r="B188" s="31">
        <f>IF($A188="","",IF(Builders!$B185="","MISSING","OK"))</f>
        <v/>
      </c>
      <c r="C188" s="31">
        <f>IF($A188="","",IF(Builders!$C185="","MISSING","OK"))</f>
        <v/>
      </c>
      <c r="D188" s="31">
        <f>IF($A188="","",IF(Builders!$D185="","MISSING","OK"))</f>
        <v/>
      </c>
      <c r="E188" s="31">
        <f>IF($A188="","",IF(Builders!$F185="","MISSING","OK"))</f>
        <v/>
      </c>
      <c r="F188" s="31">
        <f>IF($A188="","",IF(COUNTIFS(Contacts!$A$2:$A$501,$A188,Contacts!$B$2:$B$501,"*Owner*")+COUNTIFS(Contacts!$A$2:$A$501,$A188,Contacts!$F$2:$F$501,"*owner*")=0,"MISSING","OK"))</f>
        <v/>
      </c>
      <c r="G188" s="31">
        <f>IF($A188="","",IF(COUNTIFS(Contacts!$A$2:$A$501,$A188,Contacts!$B$2:$B$501,"*Listing*")+COUNTIFS(Contacts!$A$2:$A$501,$A188,Contacts!$F$2:$F$501,"*listing agent*")=0,"MISSING","OK"))</f>
        <v/>
      </c>
      <c r="H188" s="31">
        <f>IF($A188="","",IF(COUNTIFS(Contacts!$A$2:$A$501,$A188,Contacts!$B$2:$B$501,"*Builder Rep*")+COUNTIFS(Contacts!$A$2:$A$501,$A188,Contacts!$B$2:$B$501,"Sales*")=0,"MISSING","OK"))</f>
        <v/>
      </c>
      <c r="I188" s="31">
        <f>IF($A188="","",IF(COUNTIFS(Contacts!$A$2:$A$501,$A188,Contacts!$B$2:$B$501,"*Docs*")+COUNTIFS(Contacts!$A$2:$A$501,$A188,Contacts!$F$2:$F$501,"*builder doc*")=0,"MISSING","OK"))</f>
        <v/>
      </c>
      <c r="J188" s="31">
        <f>IF($A188="","",IF(COUNTIFS(Contacts!$A$2:$A$501,$A188,Contacts!$B$2:$B$501,"*Appraisal*")+COUNTIFS(Contacts!$A$2:$A$501,$A188,Contacts!$F$2:$F$501,"*apprais*")=0,"MISSING","OK"))</f>
        <v/>
      </c>
      <c r="K188" s="31">
        <f>IF($A188="","",IF(Builders!$B185="","MISSING",IF(COUNTIFS('Title Contacts'!$A$2:$A$601,Builders!$B185,'Title Contacts'!$B$2:$B$601,"*agent*",'Title Contacts'!$C$2:$C$601,"&lt;&gt;")&gt;0,"OK","MISSING")))</f>
        <v/>
      </c>
      <c r="L188" s="31">
        <f>IF($A188="","",IF(Builders!$B185="","MISSING",IF(COUNTIFS('Title Contacts'!$A$2:$A$601,Builders!$B185,'Title Contacts'!$B$2:$B$601,"*assistant*",'Title Contacts'!$C$2:$C$601,"&lt;&gt;")&gt;0,"OK","MISSING")))</f>
        <v/>
      </c>
      <c r="M188" s="31">
        <f>IF($A188="","",COUNTIF(B188:L188,"MISSING"))</f>
        <v/>
      </c>
    </row>
    <row r="189">
      <c r="A189" s="18">
        <f>IF(Builders!$A186="","",Builders!$A186)</f>
        <v/>
      </c>
      <c r="B189" s="31">
        <f>IF($A189="","",IF(Builders!$B186="","MISSING","OK"))</f>
        <v/>
      </c>
      <c r="C189" s="31">
        <f>IF($A189="","",IF(Builders!$C186="","MISSING","OK"))</f>
        <v/>
      </c>
      <c r="D189" s="31">
        <f>IF($A189="","",IF(Builders!$D186="","MISSING","OK"))</f>
        <v/>
      </c>
      <c r="E189" s="31">
        <f>IF($A189="","",IF(Builders!$F186="","MISSING","OK"))</f>
        <v/>
      </c>
      <c r="F189" s="31">
        <f>IF($A189="","",IF(COUNTIFS(Contacts!$A$2:$A$501,$A189,Contacts!$B$2:$B$501,"*Owner*")+COUNTIFS(Contacts!$A$2:$A$501,$A189,Contacts!$F$2:$F$501,"*owner*")=0,"MISSING","OK"))</f>
        <v/>
      </c>
      <c r="G189" s="31">
        <f>IF($A189="","",IF(COUNTIFS(Contacts!$A$2:$A$501,$A189,Contacts!$B$2:$B$501,"*Listing*")+COUNTIFS(Contacts!$A$2:$A$501,$A189,Contacts!$F$2:$F$501,"*listing agent*")=0,"MISSING","OK"))</f>
        <v/>
      </c>
      <c r="H189" s="31">
        <f>IF($A189="","",IF(COUNTIFS(Contacts!$A$2:$A$501,$A189,Contacts!$B$2:$B$501,"*Builder Rep*")+COUNTIFS(Contacts!$A$2:$A$501,$A189,Contacts!$B$2:$B$501,"Sales*")=0,"MISSING","OK"))</f>
        <v/>
      </c>
      <c r="I189" s="31">
        <f>IF($A189="","",IF(COUNTIFS(Contacts!$A$2:$A$501,$A189,Contacts!$B$2:$B$501,"*Docs*")+COUNTIFS(Contacts!$A$2:$A$501,$A189,Contacts!$F$2:$F$501,"*builder doc*")=0,"MISSING","OK"))</f>
        <v/>
      </c>
      <c r="J189" s="31">
        <f>IF($A189="","",IF(COUNTIFS(Contacts!$A$2:$A$501,$A189,Contacts!$B$2:$B$501,"*Appraisal*")+COUNTIFS(Contacts!$A$2:$A$501,$A189,Contacts!$F$2:$F$501,"*apprais*")=0,"MISSING","OK"))</f>
        <v/>
      </c>
      <c r="K189" s="31">
        <f>IF($A189="","",IF(Builders!$B186="","MISSING",IF(COUNTIFS('Title Contacts'!$A$2:$A$601,Builders!$B186,'Title Contacts'!$B$2:$B$601,"*agent*",'Title Contacts'!$C$2:$C$601,"&lt;&gt;")&gt;0,"OK","MISSING")))</f>
        <v/>
      </c>
      <c r="L189" s="31">
        <f>IF($A189="","",IF(Builders!$B186="","MISSING",IF(COUNTIFS('Title Contacts'!$A$2:$A$601,Builders!$B186,'Title Contacts'!$B$2:$B$601,"*assistant*",'Title Contacts'!$C$2:$C$601,"&lt;&gt;")&gt;0,"OK","MISSING")))</f>
        <v/>
      </c>
      <c r="M189" s="31">
        <f>IF($A189="","",COUNTIF(B189:L189,"MISSING"))</f>
        <v/>
      </c>
    </row>
    <row r="190">
      <c r="A190" s="18">
        <f>IF(Builders!$A187="","",Builders!$A187)</f>
        <v/>
      </c>
      <c r="B190" s="31">
        <f>IF($A190="","",IF(Builders!$B187="","MISSING","OK"))</f>
        <v/>
      </c>
      <c r="C190" s="31">
        <f>IF($A190="","",IF(Builders!$C187="","MISSING","OK"))</f>
        <v/>
      </c>
      <c r="D190" s="31">
        <f>IF($A190="","",IF(Builders!$D187="","MISSING","OK"))</f>
        <v/>
      </c>
      <c r="E190" s="31">
        <f>IF($A190="","",IF(Builders!$F187="","MISSING","OK"))</f>
        <v/>
      </c>
      <c r="F190" s="31">
        <f>IF($A190="","",IF(COUNTIFS(Contacts!$A$2:$A$501,$A190,Contacts!$B$2:$B$501,"*Owner*")+COUNTIFS(Contacts!$A$2:$A$501,$A190,Contacts!$F$2:$F$501,"*owner*")=0,"MISSING","OK"))</f>
        <v/>
      </c>
      <c r="G190" s="31">
        <f>IF($A190="","",IF(COUNTIFS(Contacts!$A$2:$A$501,$A190,Contacts!$B$2:$B$501,"*Listing*")+COUNTIFS(Contacts!$A$2:$A$501,$A190,Contacts!$F$2:$F$501,"*listing agent*")=0,"MISSING","OK"))</f>
        <v/>
      </c>
      <c r="H190" s="31">
        <f>IF($A190="","",IF(COUNTIFS(Contacts!$A$2:$A$501,$A190,Contacts!$B$2:$B$501,"*Builder Rep*")+COUNTIFS(Contacts!$A$2:$A$501,$A190,Contacts!$B$2:$B$501,"Sales*")=0,"MISSING","OK"))</f>
        <v/>
      </c>
      <c r="I190" s="31">
        <f>IF($A190="","",IF(COUNTIFS(Contacts!$A$2:$A$501,$A190,Contacts!$B$2:$B$501,"*Docs*")+COUNTIFS(Contacts!$A$2:$A$501,$A190,Contacts!$F$2:$F$501,"*builder doc*")=0,"MISSING","OK"))</f>
        <v/>
      </c>
      <c r="J190" s="31">
        <f>IF($A190="","",IF(COUNTIFS(Contacts!$A$2:$A$501,$A190,Contacts!$B$2:$B$501,"*Appraisal*")+COUNTIFS(Contacts!$A$2:$A$501,$A190,Contacts!$F$2:$F$501,"*apprais*")=0,"MISSING","OK"))</f>
        <v/>
      </c>
      <c r="K190" s="31">
        <f>IF($A190="","",IF(Builders!$B187="","MISSING",IF(COUNTIFS('Title Contacts'!$A$2:$A$601,Builders!$B187,'Title Contacts'!$B$2:$B$601,"*agent*",'Title Contacts'!$C$2:$C$601,"&lt;&gt;")&gt;0,"OK","MISSING")))</f>
        <v/>
      </c>
      <c r="L190" s="31">
        <f>IF($A190="","",IF(Builders!$B187="","MISSING",IF(COUNTIFS('Title Contacts'!$A$2:$A$601,Builders!$B187,'Title Contacts'!$B$2:$B$601,"*assistant*",'Title Contacts'!$C$2:$C$601,"&lt;&gt;")&gt;0,"OK","MISSING")))</f>
        <v/>
      </c>
      <c r="M190" s="31">
        <f>IF($A190="","",COUNTIF(B190:L190,"MISSING"))</f>
        <v/>
      </c>
    </row>
    <row r="191">
      <c r="A191" s="18">
        <f>IF(Builders!$A188="","",Builders!$A188)</f>
        <v/>
      </c>
      <c r="B191" s="31">
        <f>IF($A191="","",IF(Builders!$B188="","MISSING","OK"))</f>
        <v/>
      </c>
      <c r="C191" s="31">
        <f>IF($A191="","",IF(Builders!$C188="","MISSING","OK"))</f>
        <v/>
      </c>
      <c r="D191" s="31">
        <f>IF($A191="","",IF(Builders!$D188="","MISSING","OK"))</f>
        <v/>
      </c>
      <c r="E191" s="31">
        <f>IF($A191="","",IF(Builders!$F188="","MISSING","OK"))</f>
        <v/>
      </c>
      <c r="F191" s="31">
        <f>IF($A191="","",IF(COUNTIFS(Contacts!$A$2:$A$501,$A191,Contacts!$B$2:$B$501,"*Owner*")+COUNTIFS(Contacts!$A$2:$A$501,$A191,Contacts!$F$2:$F$501,"*owner*")=0,"MISSING","OK"))</f>
        <v/>
      </c>
      <c r="G191" s="31">
        <f>IF($A191="","",IF(COUNTIFS(Contacts!$A$2:$A$501,$A191,Contacts!$B$2:$B$501,"*Listing*")+COUNTIFS(Contacts!$A$2:$A$501,$A191,Contacts!$F$2:$F$501,"*listing agent*")=0,"MISSING","OK"))</f>
        <v/>
      </c>
      <c r="H191" s="31">
        <f>IF($A191="","",IF(COUNTIFS(Contacts!$A$2:$A$501,$A191,Contacts!$B$2:$B$501,"*Builder Rep*")+COUNTIFS(Contacts!$A$2:$A$501,$A191,Contacts!$B$2:$B$501,"Sales*")=0,"MISSING","OK"))</f>
        <v/>
      </c>
      <c r="I191" s="31">
        <f>IF($A191="","",IF(COUNTIFS(Contacts!$A$2:$A$501,$A191,Contacts!$B$2:$B$501,"*Docs*")+COUNTIFS(Contacts!$A$2:$A$501,$A191,Contacts!$F$2:$F$501,"*builder doc*")=0,"MISSING","OK"))</f>
        <v/>
      </c>
      <c r="J191" s="31">
        <f>IF($A191="","",IF(COUNTIFS(Contacts!$A$2:$A$501,$A191,Contacts!$B$2:$B$501,"*Appraisal*")+COUNTIFS(Contacts!$A$2:$A$501,$A191,Contacts!$F$2:$F$501,"*apprais*")=0,"MISSING","OK"))</f>
        <v/>
      </c>
      <c r="K191" s="31">
        <f>IF($A191="","",IF(Builders!$B188="","MISSING",IF(COUNTIFS('Title Contacts'!$A$2:$A$601,Builders!$B188,'Title Contacts'!$B$2:$B$601,"*agent*",'Title Contacts'!$C$2:$C$601,"&lt;&gt;")&gt;0,"OK","MISSING")))</f>
        <v/>
      </c>
      <c r="L191" s="31">
        <f>IF($A191="","",IF(Builders!$B188="","MISSING",IF(COUNTIFS('Title Contacts'!$A$2:$A$601,Builders!$B188,'Title Contacts'!$B$2:$B$601,"*assistant*",'Title Contacts'!$C$2:$C$601,"&lt;&gt;")&gt;0,"OK","MISSING")))</f>
        <v/>
      </c>
      <c r="M191" s="31">
        <f>IF($A191="","",COUNTIF(B191:L191,"MISSING"))</f>
        <v/>
      </c>
    </row>
    <row r="192">
      <c r="A192" s="18">
        <f>IF(Builders!$A189="","",Builders!$A189)</f>
        <v/>
      </c>
      <c r="B192" s="31">
        <f>IF($A192="","",IF(Builders!$B189="","MISSING","OK"))</f>
        <v/>
      </c>
      <c r="C192" s="31">
        <f>IF($A192="","",IF(Builders!$C189="","MISSING","OK"))</f>
        <v/>
      </c>
      <c r="D192" s="31">
        <f>IF($A192="","",IF(Builders!$D189="","MISSING","OK"))</f>
        <v/>
      </c>
      <c r="E192" s="31">
        <f>IF($A192="","",IF(Builders!$F189="","MISSING","OK"))</f>
        <v/>
      </c>
      <c r="F192" s="31">
        <f>IF($A192="","",IF(COUNTIFS(Contacts!$A$2:$A$501,$A192,Contacts!$B$2:$B$501,"*Owner*")+COUNTIFS(Contacts!$A$2:$A$501,$A192,Contacts!$F$2:$F$501,"*owner*")=0,"MISSING","OK"))</f>
        <v/>
      </c>
      <c r="G192" s="31">
        <f>IF($A192="","",IF(COUNTIFS(Contacts!$A$2:$A$501,$A192,Contacts!$B$2:$B$501,"*Listing*")+COUNTIFS(Contacts!$A$2:$A$501,$A192,Contacts!$F$2:$F$501,"*listing agent*")=0,"MISSING","OK"))</f>
        <v/>
      </c>
      <c r="H192" s="31">
        <f>IF($A192="","",IF(COUNTIFS(Contacts!$A$2:$A$501,$A192,Contacts!$B$2:$B$501,"*Builder Rep*")+COUNTIFS(Contacts!$A$2:$A$501,$A192,Contacts!$B$2:$B$501,"Sales*")=0,"MISSING","OK"))</f>
        <v/>
      </c>
      <c r="I192" s="31">
        <f>IF($A192="","",IF(COUNTIFS(Contacts!$A$2:$A$501,$A192,Contacts!$B$2:$B$501,"*Docs*")+COUNTIFS(Contacts!$A$2:$A$501,$A192,Contacts!$F$2:$F$501,"*builder doc*")=0,"MISSING","OK"))</f>
        <v/>
      </c>
      <c r="J192" s="31">
        <f>IF($A192="","",IF(COUNTIFS(Contacts!$A$2:$A$501,$A192,Contacts!$B$2:$B$501,"*Appraisal*")+COUNTIFS(Contacts!$A$2:$A$501,$A192,Contacts!$F$2:$F$501,"*apprais*")=0,"MISSING","OK"))</f>
        <v/>
      </c>
      <c r="K192" s="31">
        <f>IF($A192="","",IF(Builders!$B189="","MISSING",IF(COUNTIFS('Title Contacts'!$A$2:$A$601,Builders!$B189,'Title Contacts'!$B$2:$B$601,"*agent*",'Title Contacts'!$C$2:$C$601,"&lt;&gt;")&gt;0,"OK","MISSING")))</f>
        <v/>
      </c>
      <c r="L192" s="31">
        <f>IF($A192="","",IF(Builders!$B189="","MISSING",IF(COUNTIFS('Title Contacts'!$A$2:$A$601,Builders!$B189,'Title Contacts'!$B$2:$B$601,"*assistant*",'Title Contacts'!$C$2:$C$601,"&lt;&gt;")&gt;0,"OK","MISSING")))</f>
        <v/>
      </c>
      <c r="M192" s="31">
        <f>IF($A192="","",COUNTIF(B192:L192,"MISSING"))</f>
        <v/>
      </c>
    </row>
    <row r="193">
      <c r="A193" s="18">
        <f>IF(Builders!$A190="","",Builders!$A190)</f>
        <v/>
      </c>
      <c r="B193" s="31">
        <f>IF($A193="","",IF(Builders!$B190="","MISSING","OK"))</f>
        <v/>
      </c>
      <c r="C193" s="31">
        <f>IF($A193="","",IF(Builders!$C190="","MISSING","OK"))</f>
        <v/>
      </c>
      <c r="D193" s="31">
        <f>IF($A193="","",IF(Builders!$D190="","MISSING","OK"))</f>
        <v/>
      </c>
      <c r="E193" s="31">
        <f>IF($A193="","",IF(Builders!$F190="","MISSING","OK"))</f>
        <v/>
      </c>
      <c r="F193" s="31">
        <f>IF($A193="","",IF(COUNTIFS(Contacts!$A$2:$A$501,$A193,Contacts!$B$2:$B$501,"*Owner*")+COUNTIFS(Contacts!$A$2:$A$501,$A193,Contacts!$F$2:$F$501,"*owner*")=0,"MISSING","OK"))</f>
        <v/>
      </c>
      <c r="G193" s="31">
        <f>IF($A193="","",IF(COUNTIFS(Contacts!$A$2:$A$501,$A193,Contacts!$B$2:$B$501,"*Listing*")+COUNTIFS(Contacts!$A$2:$A$501,$A193,Contacts!$F$2:$F$501,"*listing agent*")=0,"MISSING","OK"))</f>
        <v/>
      </c>
      <c r="H193" s="31">
        <f>IF($A193="","",IF(COUNTIFS(Contacts!$A$2:$A$501,$A193,Contacts!$B$2:$B$501,"*Builder Rep*")+COUNTIFS(Contacts!$A$2:$A$501,$A193,Contacts!$B$2:$B$501,"Sales*")=0,"MISSING","OK"))</f>
        <v/>
      </c>
      <c r="I193" s="31">
        <f>IF($A193="","",IF(COUNTIFS(Contacts!$A$2:$A$501,$A193,Contacts!$B$2:$B$501,"*Docs*")+COUNTIFS(Contacts!$A$2:$A$501,$A193,Contacts!$F$2:$F$501,"*builder doc*")=0,"MISSING","OK"))</f>
        <v/>
      </c>
      <c r="J193" s="31">
        <f>IF($A193="","",IF(COUNTIFS(Contacts!$A$2:$A$501,$A193,Contacts!$B$2:$B$501,"*Appraisal*")+COUNTIFS(Contacts!$A$2:$A$501,$A193,Contacts!$F$2:$F$501,"*apprais*")=0,"MISSING","OK"))</f>
        <v/>
      </c>
      <c r="K193" s="31">
        <f>IF($A193="","",IF(Builders!$B190="","MISSING",IF(COUNTIFS('Title Contacts'!$A$2:$A$601,Builders!$B190,'Title Contacts'!$B$2:$B$601,"*agent*",'Title Contacts'!$C$2:$C$601,"&lt;&gt;")&gt;0,"OK","MISSING")))</f>
        <v/>
      </c>
      <c r="L193" s="31">
        <f>IF($A193="","",IF(Builders!$B190="","MISSING",IF(COUNTIFS('Title Contacts'!$A$2:$A$601,Builders!$B190,'Title Contacts'!$B$2:$B$601,"*assistant*",'Title Contacts'!$C$2:$C$601,"&lt;&gt;")&gt;0,"OK","MISSING")))</f>
        <v/>
      </c>
      <c r="M193" s="31">
        <f>IF($A193="","",COUNTIF(B193:L193,"MISSING"))</f>
        <v/>
      </c>
    </row>
    <row r="194">
      <c r="A194" s="18">
        <f>IF(Builders!$A191="","",Builders!$A191)</f>
        <v/>
      </c>
      <c r="B194" s="31">
        <f>IF($A194="","",IF(Builders!$B191="","MISSING","OK"))</f>
        <v/>
      </c>
      <c r="C194" s="31">
        <f>IF($A194="","",IF(Builders!$C191="","MISSING","OK"))</f>
        <v/>
      </c>
      <c r="D194" s="31">
        <f>IF($A194="","",IF(Builders!$D191="","MISSING","OK"))</f>
        <v/>
      </c>
      <c r="E194" s="31">
        <f>IF($A194="","",IF(Builders!$F191="","MISSING","OK"))</f>
        <v/>
      </c>
      <c r="F194" s="31">
        <f>IF($A194="","",IF(COUNTIFS(Contacts!$A$2:$A$501,$A194,Contacts!$B$2:$B$501,"*Owner*")+COUNTIFS(Contacts!$A$2:$A$501,$A194,Contacts!$F$2:$F$501,"*owner*")=0,"MISSING","OK"))</f>
        <v/>
      </c>
      <c r="G194" s="31">
        <f>IF($A194="","",IF(COUNTIFS(Contacts!$A$2:$A$501,$A194,Contacts!$B$2:$B$501,"*Listing*")+COUNTIFS(Contacts!$A$2:$A$501,$A194,Contacts!$F$2:$F$501,"*listing agent*")=0,"MISSING","OK"))</f>
        <v/>
      </c>
      <c r="H194" s="31">
        <f>IF($A194="","",IF(COUNTIFS(Contacts!$A$2:$A$501,$A194,Contacts!$B$2:$B$501,"*Builder Rep*")+COUNTIFS(Contacts!$A$2:$A$501,$A194,Contacts!$B$2:$B$501,"Sales*")=0,"MISSING","OK"))</f>
        <v/>
      </c>
      <c r="I194" s="31">
        <f>IF($A194="","",IF(COUNTIFS(Contacts!$A$2:$A$501,$A194,Contacts!$B$2:$B$501,"*Docs*")+COUNTIFS(Contacts!$A$2:$A$501,$A194,Contacts!$F$2:$F$501,"*builder doc*")=0,"MISSING","OK"))</f>
        <v/>
      </c>
      <c r="J194" s="31">
        <f>IF($A194="","",IF(COUNTIFS(Contacts!$A$2:$A$501,$A194,Contacts!$B$2:$B$501,"*Appraisal*")+COUNTIFS(Contacts!$A$2:$A$501,$A194,Contacts!$F$2:$F$501,"*apprais*")=0,"MISSING","OK"))</f>
        <v/>
      </c>
      <c r="K194" s="31">
        <f>IF($A194="","",IF(Builders!$B191="","MISSING",IF(COUNTIFS('Title Contacts'!$A$2:$A$601,Builders!$B191,'Title Contacts'!$B$2:$B$601,"*agent*",'Title Contacts'!$C$2:$C$601,"&lt;&gt;")&gt;0,"OK","MISSING")))</f>
        <v/>
      </c>
      <c r="L194" s="31">
        <f>IF($A194="","",IF(Builders!$B191="","MISSING",IF(COUNTIFS('Title Contacts'!$A$2:$A$601,Builders!$B191,'Title Contacts'!$B$2:$B$601,"*assistant*",'Title Contacts'!$C$2:$C$601,"&lt;&gt;")&gt;0,"OK","MISSING")))</f>
        <v/>
      </c>
      <c r="M194" s="31">
        <f>IF($A194="","",COUNTIF(B194:L194,"MISSING"))</f>
        <v/>
      </c>
    </row>
    <row r="195">
      <c r="A195" s="18">
        <f>IF(Builders!$A192="","",Builders!$A192)</f>
        <v/>
      </c>
      <c r="B195" s="31">
        <f>IF($A195="","",IF(Builders!$B192="","MISSING","OK"))</f>
        <v/>
      </c>
      <c r="C195" s="31">
        <f>IF($A195="","",IF(Builders!$C192="","MISSING","OK"))</f>
        <v/>
      </c>
      <c r="D195" s="31">
        <f>IF($A195="","",IF(Builders!$D192="","MISSING","OK"))</f>
        <v/>
      </c>
      <c r="E195" s="31">
        <f>IF($A195="","",IF(Builders!$F192="","MISSING","OK"))</f>
        <v/>
      </c>
      <c r="F195" s="31">
        <f>IF($A195="","",IF(COUNTIFS(Contacts!$A$2:$A$501,$A195,Contacts!$B$2:$B$501,"*Owner*")+COUNTIFS(Contacts!$A$2:$A$501,$A195,Contacts!$F$2:$F$501,"*owner*")=0,"MISSING","OK"))</f>
        <v/>
      </c>
      <c r="G195" s="31">
        <f>IF($A195="","",IF(COUNTIFS(Contacts!$A$2:$A$501,$A195,Contacts!$B$2:$B$501,"*Listing*")+COUNTIFS(Contacts!$A$2:$A$501,$A195,Contacts!$F$2:$F$501,"*listing agent*")=0,"MISSING","OK"))</f>
        <v/>
      </c>
      <c r="H195" s="31">
        <f>IF($A195="","",IF(COUNTIFS(Contacts!$A$2:$A$501,$A195,Contacts!$B$2:$B$501,"*Builder Rep*")+COUNTIFS(Contacts!$A$2:$A$501,$A195,Contacts!$B$2:$B$501,"Sales*")=0,"MISSING","OK"))</f>
        <v/>
      </c>
      <c r="I195" s="31">
        <f>IF($A195="","",IF(COUNTIFS(Contacts!$A$2:$A$501,$A195,Contacts!$B$2:$B$501,"*Docs*")+COUNTIFS(Contacts!$A$2:$A$501,$A195,Contacts!$F$2:$F$501,"*builder doc*")=0,"MISSING","OK"))</f>
        <v/>
      </c>
      <c r="J195" s="31">
        <f>IF($A195="","",IF(COUNTIFS(Contacts!$A$2:$A$501,$A195,Contacts!$B$2:$B$501,"*Appraisal*")+COUNTIFS(Contacts!$A$2:$A$501,$A195,Contacts!$F$2:$F$501,"*apprais*")=0,"MISSING","OK"))</f>
        <v/>
      </c>
      <c r="K195" s="31">
        <f>IF($A195="","",IF(Builders!$B192="","MISSING",IF(COUNTIFS('Title Contacts'!$A$2:$A$601,Builders!$B192,'Title Contacts'!$B$2:$B$601,"*agent*",'Title Contacts'!$C$2:$C$601,"&lt;&gt;")&gt;0,"OK","MISSING")))</f>
        <v/>
      </c>
      <c r="L195" s="31">
        <f>IF($A195="","",IF(Builders!$B192="","MISSING",IF(COUNTIFS('Title Contacts'!$A$2:$A$601,Builders!$B192,'Title Contacts'!$B$2:$B$601,"*assistant*",'Title Contacts'!$C$2:$C$601,"&lt;&gt;")&gt;0,"OK","MISSING")))</f>
        <v/>
      </c>
      <c r="M195" s="31">
        <f>IF($A195="","",COUNTIF(B195:L195,"MISSING"))</f>
        <v/>
      </c>
    </row>
    <row r="196">
      <c r="A196" s="18">
        <f>IF(Builders!$A193="","",Builders!$A193)</f>
        <v/>
      </c>
      <c r="B196" s="31">
        <f>IF($A196="","",IF(Builders!$B193="","MISSING","OK"))</f>
        <v/>
      </c>
      <c r="C196" s="31">
        <f>IF($A196="","",IF(Builders!$C193="","MISSING","OK"))</f>
        <v/>
      </c>
      <c r="D196" s="31">
        <f>IF($A196="","",IF(Builders!$D193="","MISSING","OK"))</f>
        <v/>
      </c>
      <c r="E196" s="31">
        <f>IF($A196="","",IF(Builders!$F193="","MISSING","OK"))</f>
        <v/>
      </c>
      <c r="F196" s="31">
        <f>IF($A196="","",IF(COUNTIFS(Contacts!$A$2:$A$501,$A196,Contacts!$B$2:$B$501,"*Owner*")+COUNTIFS(Contacts!$A$2:$A$501,$A196,Contacts!$F$2:$F$501,"*owner*")=0,"MISSING","OK"))</f>
        <v/>
      </c>
      <c r="G196" s="31">
        <f>IF($A196="","",IF(COUNTIFS(Contacts!$A$2:$A$501,$A196,Contacts!$B$2:$B$501,"*Listing*")+COUNTIFS(Contacts!$A$2:$A$501,$A196,Contacts!$F$2:$F$501,"*listing agent*")=0,"MISSING","OK"))</f>
        <v/>
      </c>
      <c r="H196" s="31">
        <f>IF($A196="","",IF(COUNTIFS(Contacts!$A$2:$A$501,$A196,Contacts!$B$2:$B$501,"*Builder Rep*")+COUNTIFS(Contacts!$A$2:$A$501,$A196,Contacts!$B$2:$B$501,"Sales*")=0,"MISSING","OK"))</f>
        <v/>
      </c>
      <c r="I196" s="31">
        <f>IF($A196="","",IF(COUNTIFS(Contacts!$A$2:$A$501,$A196,Contacts!$B$2:$B$501,"*Docs*")+COUNTIFS(Contacts!$A$2:$A$501,$A196,Contacts!$F$2:$F$501,"*builder doc*")=0,"MISSING","OK"))</f>
        <v/>
      </c>
      <c r="J196" s="31">
        <f>IF($A196="","",IF(COUNTIFS(Contacts!$A$2:$A$501,$A196,Contacts!$B$2:$B$501,"*Appraisal*")+COUNTIFS(Contacts!$A$2:$A$501,$A196,Contacts!$F$2:$F$501,"*apprais*")=0,"MISSING","OK"))</f>
        <v/>
      </c>
      <c r="K196" s="31">
        <f>IF($A196="","",IF(Builders!$B193="","MISSING",IF(COUNTIFS('Title Contacts'!$A$2:$A$601,Builders!$B193,'Title Contacts'!$B$2:$B$601,"*agent*",'Title Contacts'!$C$2:$C$601,"&lt;&gt;")&gt;0,"OK","MISSING")))</f>
        <v/>
      </c>
      <c r="L196" s="31">
        <f>IF($A196="","",IF(Builders!$B193="","MISSING",IF(COUNTIFS('Title Contacts'!$A$2:$A$601,Builders!$B193,'Title Contacts'!$B$2:$B$601,"*assistant*",'Title Contacts'!$C$2:$C$601,"&lt;&gt;")&gt;0,"OK","MISSING")))</f>
        <v/>
      </c>
      <c r="M196" s="31">
        <f>IF($A196="","",COUNTIF(B196:L196,"MISSING"))</f>
        <v/>
      </c>
    </row>
    <row r="197">
      <c r="A197" s="18">
        <f>IF(Builders!$A194="","",Builders!$A194)</f>
        <v/>
      </c>
      <c r="B197" s="31">
        <f>IF($A197="","",IF(Builders!$B194="","MISSING","OK"))</f>
        <v/>
      </c>
      <c r="C197" s="31">
        <f>IF($A197="","",IF(Builders!$C194="","MISSING","OK"))</f>
        <v/>
      </c>
      <c r="D197" s="31">
        <f>IF($A197="","",IF(Builders!$D194="","MISSING","OK"))</f>
        <v/>
      </c>
      <c r="E197" s="31">
        <f>IF($A197="","",IF(Builders!$F194="","MISSING","OK"))</f>
        <v/>
      </c>
      <c r="F197" s="31">
        <f>IF($A197="","",IF(COUNTIFS(Contacts!$A$2:$A$501,$A197,Contacts!$B$2:$B$501,"*Owner*")+COUNTIFS(Contacts!$A$2:$A$501,$A197,Contacts!$F$2:$F$501,"*owner*")=0,"MISSING","OK"))</f>
        <v/>
      </c>
      <c r="G197" s="31">
        <f>IF($A197="","",IF(COUNTIFS(Contacts!$A$2:$A$501,$A197,Contacts!$B$2:$B$501,"*Listing*")+COUNTIFS(Contacts!$A$2:$A$501,$A197,Contacts!$F$2:$F$501,"*listing agent*")=0,"MISSING","OK"))</f>
        <v/>
      </c>
      <c r="H197" s="31">
        <f>IF($A197="","",IF(COUNTIFS(Contacts!$A$2:$A$501,$A197,Contacts!$B$2:$B$501,"*Builder Rep*")+COUNTIFS(Contacts!$A$2:$A$501,$A197,Contacts!$B$2:$B$501,"Sales*")=0,"MISSING","OK"))</f>
        <v/>
      </c>
      <c r="I197" s="31">
        <f>IF($A197="","",IF(COUNTIFS(Contacts!$A$2:$A$501,$A197,Contacts!$B$2:$B$501,"*Docs*")+COUNTIFS(Contacts!$A$2:$A$501,$A197,Contacts!$F$2:$F$501,"*builder doc*")=0,"MISSING","OK"))</f>
        <v/>
      </c>
      <c r="J197" s="31">
        <f>IF($A197="","",IF(COUNTIFS(Contacts!$A$2:$A$501,$A197,Contacts!$B$2:$B$501,"*Appraisal*")+COUNTIFS(Contacts!$A$2:$A$501,$A197,Contacts!$F$2:$F$501,"*apprais*")=0,"MISSING","OK"))</f>
        <v/>
      </c>
      <c r="K197" s="31">
        <f>IF($A197="","",IF(Builders!$B194="","MISSING",IF(COUNTIFS('Title Contacts'!$A$2:$A$601,Builders!$B194,'Title Contacts'!$B$2:$B$601,"*agent*",'Title Contacts'!$C$2:$C$601,"&lt;&gt;")&gt;0,"OK","MISSING")))</f>
        <v/>
      </c>
      <c r="L197" s="31">
        <f>IF($A197="","",IF(Builders!$B194="","MISSING",IF(COUNTIFS('Title Contacts'!$A$2:$A$601,Builders!$B194,'Title Contacts'!$B$2:$B$601,"*assistant*",'Title Contacts'!$C$2:$C$601,"&lt;&gt;")&gt;0,"OK","MISSING")))</f>
        <v/>
      </c>
      <c r="M197" s="31">
        <f>IF($A197="","",COUNTIF(B197:L197,"MISSING"))</f>
        <v/>
      </c>
    </row>
    <row r="198">
      <c r="A198" s="18">
        <f>IF(Builders!$A195="","",Builders!$A195)</f>
        <v/>
      </c>
      <c r="B198" s="31">
        <f>IF($A198="","",IF(Builders!$B195="","MISSING","OK"))</f>
        <v/>
      </c>
      <c r="C198" s="31">
        <f>IF($A198="","",IF(Builders!$C195="","MISSING","OK"))</f>
        <v/>
      </c>
      <c r="D198" s="31">
        <f>IF($A198="","",IF(Builders!$D195="","MISSING","OK"))</f>
        <v/>
      </c>
      <c r="E198" s="31">
        <f>IF($A198="","",IF(Builders!$F195="","MISSING","OK"))</f>
        <v/>
      </c>
      <c r="F198" s="31">
        <f>IF($A198="","",IF(COUNTIFS(Contacts!$A$2:$A$501,$A198,Contacts!$B$2:$B$501,"*Owner*")+COUNTIFS(Contacts!$A$2:$A$501,$A198,Contacts!$F$2:$F$501,"*owner*")=0,"MISSING","OK"))</f>
        <v/>
      </c>
      <c r="G198" s="31">
        <f>IF($A198="","",IF(COUNTIFS(Contacts!$A$2:$A$501,$A198,Contacts!$B$2:$B$501,"*Listing*")+COUNTIFS(Contacts!$A$2:$A$501,$A198,Contacts!$F$2:$F$501,"*listing agent*")=0,"MISSING","OK"))</f>
        <v/>
      </c>
      <c r="H198" s="31">
        <f>IF($A198="","",IF(COUNTIFS(Contacts!$A$2:$A$501,$A198,Contacts!$B$2:$B$501,"*Builder Rep*")+COUNTIFS(Contacts!$A$2:$A$501,$A198,Contacts!$B$2:$B$501,"Sales*")=0,"MISSING","OK"))</f>
        <v/>
      </c>
      <c r="I198" s="31">
        <f>IF($A198="","",IF(COUNTIFS(Contacts!$A$2:$A$501,$A198,Contacts!$B$2:$B$501,"*Docs*")+COUNTIFS(Contacts!$A$2:$A$501,$A198,Contacts!$F$2:$F$501,"*builder doc*")=0,"MISSING","OK"))</f>
        <v/>
      </c>
      <c r="J198" s="31">
        <f>IF($A198="","",IF(COUNTIFS(Contacts!$A$2:$A$501,$A198,Contacts!$B$2:$B$501,"*Appraisal*")+COUNTIFS(Contacts!$A$2:$A$501,$A198,Contacts!$F$2:$F$501,"*apprais*")=0,"MISSING","OK"))</f>
        <v/>
      </c>
      <c r="K198" s="31">
        <f>IF($A198="","",IF(Builders!$B195="","MISSING",IF(COUNTIFS('Title Contacts'!$A$2:$A$601,Builders!$B195,'Title Contacts'!$B$2:$B$601,"*agent*",'Title Contacts'!$C$2:$C$601,"&lt;&gt;")&gt;0,"OK","MISSING")))</f>
        <v/>
      </c>
      <c r="L198" s="31">
        <f>IF($A198="","",IF(Builders!$B195="","MISSING",IF(COUNTIFS('Title Contacts'!$A$2:$A$601,Builders!$B195,'Title Contacts'!$B$2:$B$601,"*assistant*",'Title Contacts'!$C$2:$C$601,"&lt;&gt;")&gt;0,"OK","MISSING")))</f>
        <v/>
      </c>
      <c r="M198" s="31">
        <f>IF($A198="","",COUNTIF(B198:L198,"MISSING"))</f>
        <v/>
      </c>
    </row>
    <row r="199">
      <c r="A199" s="18">
        <f>IF(Builders!$A196="","",Builders!$A196)</f>
        <v/>
      </c>
      <c r="B199" s="31">
        <f>IF($A199="","",IF(Builders!$B196="","MISSING","OK"))</f>
        <v/>
      </c>
      <c r="C199" s="31">
        <f>IF($A199="","",IF(Builders!$C196="","MISSING","OK"))</f>
        <v/>
      </c>
      <c r="D199" s="31">
        <f>IF($A199="","",IF(Builders!$D196="","MISSING","OK"))</f>
        <v/>
      </c>
      <c r="E199" s="31">
        <f>IF($A199="","",IF(Builders!$F196="","MISSING","OK"))</f>
        <v/>
      </c>
      <c r="F199" s="31">
        <f>IF($A199="","",IF(COUNTIFS(Contacts!$A$2:$A$501,$A199,Contacts!$B$2:$B$501,"*Owner*")+COUNTIFS(Contacts!$A$2:$A$501,$A199,Contacts!$F$2:$F$501,"*owner*")=0,"MISSING","OK"))</f>
        <v/>
      </c>
      <c r="G199" s="31">
        <f>IF($A199="","",IF(COUNTIFS(Contacts!$A$2:$A$501,$A199,Contacts!$B$2:$B$501,"*Listing*")+COUNTIFS(Contacts!$A$2:$A$501,$A199,Contacts!$F$2:$F$501,"*listing agent*")=0,"MISSING","OK"))</f>
        <v/>
      </c>
      <c r="H199" s="31">
        <f>IF($A199="","",IF(COUNTIFS(Contacts!$A$2:$A$501,$A199,Contacts!$B$2:$B$501,"*Builder Rep*")+COUNTIFS(Contacts!$A$2:$A$501,$A199,Contacts!$B$2:$B$501,"Sales*")=0,"MISSING","OK"))</f>
        <v/>
      </c>
      <c r="I199" s="31">
        <f>IF($A199="","",IF(COUNTIFS(Contacts!$A$2:$A$501,$A199,Contacts!$B$2:$B$501,"*Docs*")+COUNTIFS(Contacts!$A$2:$A$501,$A199,Contacts!$F$2:$F$501,"*builder doc*")=0,"MISSING","OK"))</f>
        <v/>
      </c>
      <c r="J199" s="31">
        <f>IF($A199="","",IF(COUNTIFS(Contacts!$A$2:$A$501,$A199,Contacts!$B$2:$B$501,"*Appraisal*")+COUNTIFS(Contacts!$A$2:$A$501,$A199,Contacts!$F$2:$F$501,"*apprais*")=0,"MISSING","OK"))</f>
        <v/>
      </c>
      <c r="K199" s="31">
        <f>IF($A199="","",IF(Builders!$B196="","MISSING",IF(COUNTIFS('Title Contacts'!$A$2:$A$601,Builders!$B196,'Title Contacts'!$B$2:$B$601,"*agent*",'Title Contacts'!$C$2:$C$601,"&lt;&gt;")&gt;0,"OK","MISSING")))</f>
        <v/>
      </c>
      <c r="L199" s="31">
        <f>IF($A199="","",IF(Builders!$B196="","MISSING",IF(COUNTIFS('Title Contacts'!$A$2:$A$601,Builders!$B196,'Title Contacts'!$B$2:$B$601,"*assistant*",'Title Contacts'!$C$2:$C$601,"&lt;&gt;")&gt;0,"OK","MISSING")))</f>
        <v/>
      </c>
      <c r="M199" s="31">
        <f>IF($A199="","",COUNTIF(B199:L199,"MISSING"))</f>
        <v/>
      </c>
    </row>
    <row r="200">
      <c r="A200" s="18">
        <f>IF(Builders!$A197="","",Builders!$A197)</f>
        <v/>
      </c>
      <c r="B200" s="31">
        <f>IF($A200="","",IF(Builders!$B197="","MISSING","OK"))</f>
        <v/>
      </c>
      <c r="C200" s="31">
        <f>IF($A200="","",IF(Builders!$C197="","MISSING","OK"))</f>
        <v/>
      </c>
      <c r="D200" s="31">
        <f>IF($A200="","",IF(Builders!$D197="","MISSING","OK"))</f>
        <v/>
      </c>
      <c r="E200" s="31">
        <f>IF($A200="","",IF(Builders!$F197="","MISSING","OK"))</f>
        <v/>
      </c>
      <c r="F200" s="31">
        <f>IF($A200="","",IF(COUNTIFS(Contacts!$A$2:$A$501,$A200,Contacts!$B$2:$B$501,"*Owner*")+COUNTIFS(Contacts!$A$2:$A$501,$A200,Contacts!$F$2:$F$501,"*owner*")=0,"MISSING","OK"))</f>
        <v/>
      </c>
      <c r="G200" s="31">
        <f>IF($A200="","",IF(COUNTIFS(Contacts!$A$2:$A$501,$A200,Contacts!$B$2:$B$501,"*Listing*")+COUNTIFS(Contacts!$A$2:$A$501,$A200,Contacts!$F$2:$F$501,"*listing agent*")=0,"MISSING","OK"))</f>
        <v/>
      </c>
      <c r="H200" s="31">
        <f>IF($A200="","",IF(COUNTIFS(Contacts!$A$2:$A$501,$A200,Contacts!$B$2:$B$501,"*Builder Rep*")+COUNTIFS(Contacts!$A$2:$A$501,$A200,Contacts!$B$2:$B$501,"Sales*")=0,"MISSING","OK"))</f>
        <v/>
      </c>
      <c r="I200" s="31">
        <f>IF($A200="","",IF(COUNTIFS(Contacts!$A$2:$A$501,$A200,Contacts!$B$2:$B$501,"*Docs*")+COUNTIFS(Contacts!$A$2:$A$501,$A200,Contacts!$F$2:$F$501,"*builder doc*")=0,"MISSING","OK"))</f>
        <v/>
      </c>
      <c r="J200" s="31">
        <f>IF($A200="","",IF(COUNTIFS(Contacts!$A$2:$A$501,$A200,Contacts!$B$2:$B$501,"*Appraisal*")+COUNTIFS(Contacts!$A$2:$A$501,$A200,Contacts!$F$2:$F$501,"*apprais*")=0,"MISSING","OK"))</f>
        <v/>
      </c>
      <c r="K200" s="31">
        <f>IF($A200="","",IF(Builders!$B197="","MISSING",IF(COUNTIFS('Title Contacts'!$A$2:$A$601,Builders!$B197,'Title Contacts'!$B$2:$B$601,"*agent*",'Title Contacts'!$C$2:$C$601,"&lt;&gt;")&gt;0,"OK","MISSING")))</f>
        <v/>
      </c>
      <c r="L200" s="31">
        <f>IF($A200="","",IF(Builders!$B197="","MISSING",IF(COUNTIFS('Title Contacts'!$A$2:$A$601,Builders!$B197,'Title Contacts'!$B$2:$B$601,"*assistant*",'Title Contacts'!$C$2:$C$601,"&lt;&gt;")&gt;0,"OK","MISSING")))</f>
        <v/>
      </c>
      <c r="M200" s="31">
        <f>IF($A200="","",COUNTIF(B200:L200,"MISSING"))</f>
        <v/>
      </c>
    </row>
    <row r="201">
      <c r="A201" s="18">
        <f>IF(Builders!$A198="","",Builders!$A198)</f>
        <v/>
      </c>
      <c r="B201" s="31">
        <f>IF($A201="","",IF(Builders!$B198="","MISSING","OK"))</f>
        <v/>
      </c>
      <c r="C201" s="31">
        <f>IF($A201="","",IF(Builders!$C198="","MISSING","OK"))</f>
        <v/>
      </c>
      <c r="D201" s="31">
        <f>IF($A201="","",IF(Builders!$D198="","MISSING","OK"))</f>
        <v/>
      </c>
      <c r="E201" s="31">
        <f>IF($A201="","",IF(Builders!$F198="","MISSING","OK"))</f>
        <v/>
      </c>
      <c r="F201" s="31">
        <f>IF($A201="","",IF(COUNTIFS(Contacts!$A$2:$A$501,$A201,Contacts!$B$2:$B$501,"*Owner*")+COUNTIFS(Contacts!$A$2:$A$501,$A201,Contacts!$F$2:$F$501,"*owner*")=0,"MISSING","OK"))</f>
        <v/>
      </c>
      <c r="G201" s="31">
        <f>IF($A201="","",IF(COUNTIFS(Contacts!$A$2:$A$501,$A201,Contacts!$B$2:$B$501,"*Listing*")+COUNTIFS(Contacts!$A$2:$A$501,$A201,Contacts!$F$2:$F$501,"*listing agent*")=0,"MISSING","OK"))</f>
        <v/>
      </c>
      <c r="H201" s="31">
        <f>IF($A201="","",IF(COUNTIFS(Contacts!$A$2:$A$501,$A201,Contacts!$B$2:$B$501,"*Builder Rep*")+COUNTIFS(Contacts!$A$2:$A$501,$A201,Contacts!$B$2:$B$501,"Sales*")=0,"MISSING","OK"))</f>
        <v/>
      </c>
      <c r="I201" s="31">
        <f>IF($A201="","",IF(COUNTIFS(Contacts!$A$2:$A$501,$A201,Contacts!$B$2:$B$501,"*Docs*")+COUNTIFS(Contacts!$A$2:$A$501,$A201,Contacts!$F$2:$F$501,"*builder doc*")=0,"MISSING","OK"))</f>
        <v/>
      </c>
      <c r="J201" s="31">
        <f>IF($A201="","",IF(COUNTIFS(Contacts!$A$2:$A$501,$A201,Contacts!$B$2:$B$501,"*Appraisal*")+COUNTIFS(Contacts!$A$2:$A$501,$A201,Contacts!$F$2:$F$501,"*apprais*")=0,"MISSING","OK"))</f>
        <v/>
      </c>
      <c r="K201" s="31">
        <f>IF($A201="","",IF(Builders!$B198="","MISSING",IF(COUNTIFS('Title Contacts'!$A$2:$A$601,Builders!$B198,'Title Contacts'!$B$2:$B$601,"*agent*",'Title Contacts'!$C$2:$C$601,"&lt;&gt;")&gt;0,"OK","MISSING")))</f>
        <v/>
      </c>
      <c r="L201" s="31">
        <f>IF($A201="","",IF(Builders!$B198="","MISSING",IF(COUNTIFS('Title Contacts'!$A$2:$A$601,Builders!$B198,'Title Contacts'!$B$2:$B$601,"*assistant*",'Title Contacts'!$C$2:$C$601,"&lt;&gt;")&gt;0,"OK","MISSING")))</f>
        <v/>
      </c>
      <c r="M201" s="31">
        <f>IF($A201="","",COUNTIF(B201:L201,"MISSING"))</f>
        <v/>
      </c>
    </row>
    <row r="202">
      <c r="A202" s="18">
        <f>IF(Builders!$A199="","",Builders!$A199)</f>
        <v/>
      </c>
      <c r="B202" s="31">
        <f>IF($A202="","",IF(Builders!$B199="","MISSING","OK"))</f>
        <v/>
      </c>
      <c r="C202" s="31">
        <f>IF($A202="","",IF(Builders!$C199="","MISSING","OK"))</f>
        <v/>
      </c>
      <c r="D202" s="31">
        <f>IF($A202="","",IF(Builders!$D199="","MISSING","OK"))</f>
        <v/>
      </c>
      <c r="E202" s="31">
        <f>IF($A202="","",IF(Builders!$F199="","MISSING","OK"))</f>
        <v/>
      </c>
      <c r="F202" s="31">
        <f>IF($A202="","",IF(COUNTIFS(Contacts!$A$2:$A$501,$A202,Contacts!$B$2:$B$501,"*Owner*")+COUNTIFS(Contacts!$A$2:$A$501,$A202,Contacts!$F$2:$F$501,"*owner*")=0,"MISSING","OK"))</f>
        <v/>
      </c>
      <c r="G202" s="31">
        <f>IF($A202="","",IF(COUNTIFS(Contacts!$A$2:$A$501,$A202,Contacts!$B$2:$B$501,"*Listing*")+COUNTIFS(Contacts!$A$2:$A$501,$A202,Contacts!$F$2:$F$501,"*listing agent*")=0,"MISSING","OK"))</f>
        <v/>
      </c>
      <c r="H202" s="31">
        <f>IF($A202="","",IF(COUNTIFS(Contacts!$A$2:$A$501,$A202,Contacts!$B$2:$B$501,"*Builder Rep*")+COUNTIFS(Contacts!$A$2:$A$501,$A202,Contacts!$B$2:$B$501,"Sales*")=0,"MISSING","OK"))</f>
        <v/>
      </c>
      <c r="I202" s="31">
        <f>IF($A202="","",IF(COUNTIFS(Contacts!$A$2:$A$501,$A202,Contacts!$B$2:$B$501,"*Docs*")+COUNTIFS(Contacts!$A$2:$A$501,$A202,Contacts!$F$2:$F$501,"*builder doc*")=0,"MISSING","OK"))</f>
        <v/>
      </c>
      <c r="J202" s="31">
        <f>IF($A202="","",IF(COUNTIFS(Contacts!$A$2:$A$501,$A202,Contacts!$B$2:$B$501,"*Appraisal*")+COUNTIFS(Contacts!$A$2:$A$501,$A202,Contacts!$F$2:$F$501,"*apprais*")=0,"MISSING","OK"))</f>
        <v/>
      </c>
      <c r="K202" s="31">
        <f>IF($A202="","",IF(Builders!$B199="","MISSING",IF(COUNTIFS('Title Contacts'!$A$2:$A$601,Builders!$B199,'Title Contacts'!$B$2:$B$601,"*agent*",'Title Contacts'!$C$2:$C$601,"&lt;&gt;")&gt;0,"OK","MISSING")))</f>
        <v/>
      </c>
      <c r="L202" s="31">
        <f>IF($A202="","",IF(Builders!$B199="","MISSING",IF(COUNTIFS('Title Contacts'!$A$2:$A$601,Builders!$B199,'Title Contacts'!$B$2:$B$601,"*assistant*",'Title Contacts'!$C$2:$C$601,"&lt;&gt;")&gt;0,"OK","MISSING")))</f>
        <v/>
      </c>
      <c r="M202" s="31">
        <f>IF($A202="","",COUNTIF(B202:L202,"MISSING"))</f>
        <v/>
      </c>
    </row>
    <row r="203">
      <c r="A203" s="18">
        <f>IF(Builders!$A200="","",Builders!$A200)</f>
        <v/>
      </c>
      <c r="B203" s="31">
        <f>IF($A203="","",IF(Builders!$B200="","MISSING","OK"))</f>
        <v/>
      </c>
      <c r="C203" s="31">
        <f>IF($A203="","",IF(Builders!$C200="","MISSING","OK"))</f>
        <v/>
      </c>
      <c r="D203" s="31">
        <f>IF($A203="","",IF(Builders!$D200="","MISSING","OK"))</f>
        <v/>
      </c>
      <c r="E203" s="31">
        <f>IF($A203="","",IF(Builders!$F200="","MISSING","OK"))</f>
        <v/>
      </c>
      <c r="F203" s="31">
        <f>IF($A203="","",IF(COUNTIFS(Contacts!$A$2:$A$501,$A203,Contacts!$B$2:$B$501,"*Owner*")+COUNTIFS(Contacts!$A$2:$A$501,$A203,Contacts!$F$2:$F$501,"*owner*")=0,"MISSING","OK"))</f>
        <v/>
      </c>
      <c r="G203" s="31">
        <f>IF($A203="","",IF(COUNTIFS(Contacts!$A$2:$A$501,$A203,Contacts!$B$2:$B$501,"*Listing*")+COUNTIFS(Contacts!$A$2:$A$501,$A203,Contacts!$F$2:$F$501,"*listing agent*")=0,"MISSING","OK"))</f>
        <v/>
      </c>
      <c r="H203" s="31">
        <f>IF($A203="","",IF(COUNTIFS(Contacts!$A$2:$A$501,$A203,Contacts!$B$2:$B$501,"*Builder Rep*")+COUNTIFS(Contacts!$A$2:$A$501,$A203,Contacts!$B$2:$B$501,"Sales*")=0,"MISSING","OK"))</f>
        <v/>
      </c>
      <c r="I203" s="31">
        <f>IF($A203="","",IF(COUNTIFS(Contacts!$A$2:$A$501,$A203,Contacts!$B$2:$B$501,"*Docs*")+COUNTIFS(Contacts!$A$2:$A$501,$A203,Contacts!$F$2:$F$501,"*builder doc*")=0,"MISSING","OK"))</f>
        <v/>
      </c>
      <c r="J203" s="31">
        <f>IF($A203="","",IF(COUNTIFS(Contacts!$A$2:$A$501,$A203,Contacts!$B$2:$B$501,"*Appraisal*")+COUNTIFS(Contacts!$A$2:$A$501,$A203,Contacts!$F$2:$F$501,"*apprais*")=0,"MISSING","OK"))</f>
        <v/>
      </c>
      <c r="K203" s="31">
        <f>IF($A203="","",IF(Builders!$B200="","MISSING",IF(COUNTIFS('Title Contacts'!$A$2:$A$601,Builders!$B200,'Title Contacts'!$B$2:$B$601,"*agent*",'Title Contacts'!$C$2:$C$601,"&lt;&gt;")&gt;0,"OK","MISSING")))</f>
        <v/>
      </c>
      <c r="L203" s="31">
        <f>IF($A203="","",IF(Builders!$B200="","MISSING",IF(COUNTIFS('Title Contacts'!$A$2:$A$601,Builders!$B200,'Title Contacts'!$B$2:$B$601,"*assistant*",'Title Contacts'!$C$2:$C$601,"&lt;&gt;")&gt;0,"OK","MISSING")))</f>
        <v/>
      </c>
      <c r="M203" s="31">
        <f>IF($A203="","",COUNTIF(B203:L203,"MISSING"))</f>
        <v/>
      </c>
    </row>
    <row r="204">
      <c r="A204" s="18">
        <f>IF(Builders!$A201="","",Builders!$A201)</f>
        <v/>
      </c>
      <c r="B204" s="31">
        <f>IF($A204="","",IF(Builders!$B201="","MISSING","OK"))</f>
        <v/>
      </c>
      <c r="C204" s="31">
        <f>IF($A204="","",IF(Builders!$C201="","MISSING","OK"))</f>
        <v/>
      </c>
      <c r="D204" s="31">
        <f>IF($A204="","",IF(Builders!$D201="","MISSING","OK"))</f>
        <v/>
      </c>
      <c r="E204" s="31">
        <f>IF($A204="","",IF(Builders!$F201="","MISSING","OK"))</f>
        <v/>
      </c>
      <c r="F204" s="31">
        <f>IF($A204="","",IF(COUNTIFS(Contacts!$A$2:$A$501,$A204,Contacts!$B$2:$B$501,"*Owner*")+COUNTIFS(Contacts!$A$2:$A$501,$A204,Contacts!$F$2:$F$501,"*owner*")=0,"MISSING","OK"))</f>
        <v/>
      </c>
      <c r="G204" s="31">
        <f>IF($A204="","",IF(COUNTIFS(Contacts!$A$2:$A$501,$A204,Contacts!$B$2:$B$501,"*Listing*")+COUNTIFS(Contacts!$A$2:$A$501,$A204,Contacts!$F$2:$F$501,"*listing agent*")=0,"MISSING","OK"))</f>
        <v/>
      </c>
      <c r="H204" s="31">
        <f>IF($A204="","",IF(COUNTIFS(Contacts!$A$2:$A$501,$A204,Contacts!$B$2:$B$501,"*Builder Rep*")+COUNTIFS(Contacts!$A$2:$A$501,$A204,Contacts!$B$2:$B$501,"Sales*")=0,"MISSING","OK"))</f>
        <v/>
      </c>
      <c r="I204" s="31">
        <f>IF($A204="","",IF(COUNTIFS(Contacts!$A$2:$A$501,$A204,Contacts!$B$2:$B$501,"*Docs*")+COUNTIFS(Contacts!$A$2:$A$501,$A204,Contacts!$F$2:$F$501,"*builder doc*")=0,"MISSING","OK"))</f>
        <v/>
      </c>
      <c r="J204" s="31">
        <f>IF($A204="","",IF(COUNTIFS(Contacts!$A$2:$A$501,$A204,Contacts!$B$2:$B$501,"*Appraisal*")+COUNTIFS(Contacts!$A$2:$A$501,$A204,Contacts!$F$2:$F$501,"*apprais*")=0,"MISSING","OK"))</f>
        <v/>
      </c>
      <c r="K204" s="31">
        <f>IF($A204="","",IF(Builders!$B201="","MISSING",IF(COUNTIFS('Title Contacts'!$A$2:$A$601,Builders!$B201,'Title Contacts'!$B$2:$B$601,"*agent*",'Title Contacts'!$C$2:$C$601,"&lt;&gt;")&gt;0,"OK","MISSING")))</f>
        <v/>
      </c>
      <c r="L204" s="31">
        <f>IF($A204="","",IF(Builders!$B201="","MISSING",IF(COUNTIFS('Title Contacts'!$A$2:$A$601,Builders!$B201,'Title Contacts'!$B$2:$B$601,"*assistant*",'Title Contacts'!$C$2:$C$601,"&lt;&gt;")&gt;0,"OK","MISSING")))</f>
        <v/>
      </c>
      <c r="M204" s="31">
        <f>IF($A204="","",COUNTIF(B204:L204,"MISSING"))</f>
        <v/>
      </c>
    </row>
  </sheetData>
  <sheetProtection selectLockedCells="0" selectUnlockedCells="0" sheet="1" objects="0" insertRows="1" insertHyperlinks="1" autoFilter="1" scenarios="0" formatColumns="1" deleteColumns="1" insertColumns="1" pivotTables="1" deleteRows="1" formatCells="1" formatRows="1" sort="1"/>
  <mergeCells count="2">
    <mergeCell ref="A2:M2"/>
    <mergeCell ref="A1:M1"/>
  </mergeCells>
  <conditionalFormatting sqref="B5:L204">
    <cfRule type="cellIs" priority="1" operator="equal" dxfId="2">
      <formula>"MISSING"</formula>
    </cfRule>
    <cfRule type="cellIs" priority="2" operator="equal" dxfId="1">
      <formula>"OK"</formula>
    </cfRule>
  </conditionalFormatting>
  <conditionalFormatting sqref="M5:M204">
    <cfRule type="cellIs" priority="3" operator="greaterThan" dxfId="5">
      <formula>0</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808080"/>
    <outlinePr summaryBelow="1" summaryRight="1"/>
    <pageSetUpPr/>
  </sheetPr>
  <dimension ref="A1:C31"/>
  <sheetViews>
    <sheetView workbookViewId="0">
      <selection activeCell="A1" sqref="A1"/>
    </sheetView>
  </sheetViews>
  <sheetFormatPr baseColWidth="8" defaultRowHeight="15"/>
  <cols>
    <col width="26" customWidth="1" min="1" max="1"/>
    <col width="26" customWidth="1" min="2" max="2"/>
    <col width="80" customWidth="1" min="3" max="3"/>
  </cols>
  <sheetData>
    <row r="1" ht="28" customHeight="1">
      <c r="A1" s="17" t="inlineStr">
        <is>
          <t>Role</t>
        </is>
      </c>
      <c r="B1" s="17" t="inlineStr">
        <is>
          <t>Title Role</t>
        </is>
      </c>
      <c r="C1" s="2" t="inlineStr">
        <is>
          <t>Column A feeds the Role dropdown on Contacts, column B the one on Title Contacts. Add a value here to make it selectable (see Start Here &gt; Maintenance to extend past row 31).</t>
        </is>
      </c>
    </row>
    <row r="2">
      <c r="A2" s="32" t="n"/>
      <c r="B2" s="32" t="inlineStr">
        <is>
          <t>Escrow Agent</t>
        </is>
      </c>
    </row>
    <row r="3">
      <c r="A3" s="32" t="n"/>
      <c r="B3" s="32" t="inlineStr">
        <is>
          <t>Escrow Assistant</t>
        </is>
      </c>
    </row>
    <row r="4">
      <c r="A4" s="32" t="n"/>
      <c r="B4" s="32" t="inlineStr">
        <is>
          <t>Closer</t>
        </is>
      </c>
    </row>
    <row r="5">
      <c r="A5" s="32" t="n"/>
      <c r="B5" s="32" t="inlineStr">
        <is>
          <t>Title Officer</t>
        </is>
      </c>
    </row>
    <row r="6">
      <c r="A6" s="32" t="n"/>
      <c r="B6" s="32" t="inlineStr">
        <is>
          <t>Processor</t>
        </is>
      </c>
    </row>
    <row r="7">
      <c r="A7" s="32" t="n"/>
      <c r="B7" s="32" t="inlineStr">
        <is>
          <t>Post Closer</t>
        </is>
      </c>
    </row>
    <row r="8">
      <c r="A8" s="32" t="n"/>
    </row>
    <row r="9">
      <c r="A9" s="32" t="n"/>
    </row>
    <row r="10">
      <c r="A10" s="32" t="n"/>
    </row>
    <row r="11">
      <c r="A11" s="32" t="n"/>
    </row>
    <row r="12">
      <c r="A12" s="32" t="n"/>
    </row>
    <row r="13">
      <c r="A13" s="32" t="n"/>
    </row>
    <row r="14">
      <c r="A14" s="32" t="n"/>
    </row>
    <row r="15">
      <c r="A15" s="32" t="n"/>
    </row>
    <row r="16">
      <c r="A16" s="32" t="n"/>
    </row>
    <row r="17">
      <c r="A17" s="32" t="n"/>
    </row>
    <row r="18">
      <c r="A18" s="32" t="n"/>
    </row>
    <row r="19">
      <c r="A19" s="32" t="n"/>
    </row>
    <row r="20">
      <c r="A20" s="32" t="n"/>
    </row>
    <row r="21">
      <c r="A21" s="32" t="n"/>
    </row>
    <row r="22">
      <c r="A22" s="32" t="n"/>
    </row>
    <row r="23">
      <c r="A23" s="32" t="n"/>
    </row>
    <row r="24">
      <c r="A24" s="32" t="n"/>
    </row>
    <row r="25">
      <c r="A25" s="32" t="n"/>
    </row>
    <row r="26">
      <c r="A26" s="32" t="n"/>
    </row>
    <row r="27">
      <c r="A27" s="32" t="n"/>
    </row>
    <row r="28">
      <c r="A28" s="32" t="n"/>
    </row>
    <row r="29">
      <c r="A29" s="32" t="n"/>
    </row>
    <row r="30">
      <c r="A30" s="32" t="n"/>
    </row>
    <row r="31">
      <c r="A31" s="3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TRL Contacts</dc:title>
  <dcterms:created xsi:type="dcterms:W3CDTF">2026-09-09T00:57:55Z</dcterms:created>
  <dcterms:modified xsi:type="dcterms:W3CDTF">2026-09-09T00:57:55Z</dcterms:modified>
</cp:coreProperties>
</file>